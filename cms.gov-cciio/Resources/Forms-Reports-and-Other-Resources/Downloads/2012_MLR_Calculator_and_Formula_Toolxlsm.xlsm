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6.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tables/table1.xml" ContentType="application/vnd.openxmlformats-officedocument.spreadsheetml.table+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1311" yWindow="5969" windowWidth="6572" windowHeight="2108" tabRatio="635"/>
  </bookViews>
  <sheets>
    <sheet name="Start Here" sheetId="27" r:id="rId1"/>
    <sheet name="Formula Reference" sheetId="28" r:id="rId2"/>
    <sheet name="Pt 1 - Summary of Data" sheetId="4" r:id="rId3"/>
    <sheet name="Pt 2 - Premium and Claims" sheetId="18" r:id="rId4"/>
    <sheet name="Pt 4 MLR and Rebate Calculation" sheetId="10" r:id="rId5"/>
    <sheet name="Tables" sheetId="25" r:id="rId6"/>
  </sheets>
  <definedNames>
    <definedName name="BUSINESS_STATE_LIST">#REF!</definedName>
    <definedName name="_xlnm.Print_Area" localSheetId="2">'Pt 1 - Summary of Data'!$B$1:$AQ$86</definedName>
    <definedName name="_xlnm.Print_Area" localSheetId="3">'Pt 2 - Premium and Claims'!$B$1:$AQ$77</definedName>
    <definedName name="_xlnm.Print_Area" localSheetId="4">'Pt 4 MLR and Rebate Calculation'!$B$1:$AJ$53</definedName>
    <definedName name="_xlnm.Print_Titles" localSheetId="1">'Formula Reference'!$1:$2</definedName>
    <definedName name="_xlnm.Print_Titles" localSheetId="2">'Pt 1 - Summary of Data'!$B:$E,'Pt 1 - Summary of Data'!$1:$18</definedName>
    <definedName name="_xlnm.Print_Titles" localSheetId="3">'Pt 2 - Premium and Claims'!$B:$E,'Pt 2 - Premium and Claims'!$1:$18</definedName>
    <definedName name="_xlnm.Print_Titles" localSheetId="4">'Pt 4 MLR and Rebate Calculation'!$B:$D,'Pt 4 MLR and Rebate Calculation'!$1:$13</definedName>
    <definedName name="STATES_ONLY_LIST">#REF!</definedName>
    <definedName name="YEARS_LIST">#REF!</definedName>
    <definedName name="YES_NO_LIST">#REF!</definedName>
  </definedNames>
  <calcPr calcId="145621"/>
</workbook>
</file>

<file path=xl/calcChain.xml><?xml version="1.0" encoding="utf-8"?>
<calcChain xmlns="http://schemas.openxmlformats.org/spreadsheetml/2006/main">
  <c r="L4" i="10" l="1"/>
  <c r="L8" i="10"/>
  <c r="I6" i="10"/>
  <c r="AI16" i="10"/>
  <c r="AE16" i="10"/>
  <c r="O16" i="10"/>
  <c r="K16" i="10"/>
  <c r="G16" i="10"/>
  <c r="L75" i="4" l="1"/>
  <c r="AP67" i="18"/>
  <c r="AO67" i="18"/>
  <c r="AN67" i="18"/>
  <c r="AM67" i="18"/>
  <c r="AL67" i="18"/>
  <c r="AK67" i="18"/>
  <c r="AJ67" i="18"/>
  <c r="AI67" i="18"/>
  <c r="AH67" i="18"/>
  <c r="AG67" i="18"/>
  <c r="AF67" i="18"/>
  <c r="AE67" i="18"/>
  <c r="AD67" i="18"/>
  <c r="AC67" i="18"/>
  <c r="AB67" i="18"/>
  <c r="AA67" i="18"/>
  <c r="Z67" i="18"/>
  <c r="Y67" i="18"/>
  <c r="X67" i="18"/>
  <c r="W67" i="18"/>
  <c r="V67" i="18"/>
  <c r="U67" i="18"/>
  <c r="T67" i="18"/>
  <c r="S67" i="18"/>
  <c r="R67" i="18"/>
  <c r="Q67" i="18"/>
  <c r="P67" i="18"/>
  <c r="O67" i="18"/>
  <c r="N67" i="18"/>
  <c r="M67" i="18"/>
  <c r="L67" i="18"/>
  <c r="K67" i="18"/>
  <c r="J67" i="18"/>
  <c r="I67" i="18"/>
  <c r="H67" i="18"/>
  <c r="G67" i="18"/>
  <c r="F67" i="18"/>
  <c r="AP66" i="18"/>
  <c r="AP28" i="4" s="1"/>
  <c r="AO66" i="18"/>
  <c r="AO28" i="4" s="1"/>
  <c r="AN66" i="18"/>
  <c r="AM66" i="18"/>
  <c r="AL66" i="18"/>
  <c r="AL28" i="4" s="1"/>
  <c r="AK66" i="18"/>
  <c r="AK28" i="4" s="1"/>
  <c r="AJ66" i="18"/>
  <c r="AJ28" i="4" s="1"/>
  <c r="AI66" i="18"/>
  <c r="AI28" i="4" s="1"/>
  <c r="AH66" i="18"/>
  <c r="AG66" i="18"/>
  <c r="AG28" i="4" s="1"/>
  <c r="AF66" i="18"/>
  <c r="AF28" i="4" s="1"/>
  <c r="AE66" i="18"/>
  <c r="AE28" i="4" s="1"/>
  <c r="AD66" i="18"/>
  <c r="AD28" i="4" s="1"/>
  <c r="AC66" i="18"/>
  <c r="AC28" i="4" s="1"/>
  <c r="AB66" i="18"/>
  <c r="AB28" i="4" s="1"/>
  <c r="AA66" i="18"/>
  <c r="AA28" i="4" s="1"/>
  <c r="Z66" i="18"/>
  <c r="Z28" i="4" s="1"/>
  <c r="Y66" i="18"/>
  <c r="X66" i="18"/>
  <c r="X28" i="4" s="1"/>
  <c r="W66" i="18"/>
  <c r="W28" i="4" s="1"/>
  <c r="V66" i="18"/>
  <c r="V28" i="4" s="1"/>
  <c r="U66" i="18"/>
  <c r="T66" i="18"/>
  <c r="S66" i="18"/>
  <c r="S28" i="4" s="1"/>
  <c r="R66" i="18"/>
  <c r="R28" i="4" s="1"/>
  <c r="Q66" i="18"/>
  <c r="Q28" i="4" s="1"/>
  <c r="P66" i="18"/>
  <c r="P28" i="4" s="1"/>
  <c r="O66" i="18"/>
  <c r="O28" i="4" s="1"/>
  <c r="N66" i="18"/>
  <c r="N28" i="4" s="1"/>
  <c r="M66" i="18"/>
  <c r="M28" i="4" s="1"/>
  <c r="L66" i="18"/>
  <c r="L28" i="4" s="1"/>
  <c r="K66" i="18"/>
  <c r="K28" i="4" s="1"/>
  <c r="J66" i="18"/>
  <c r="J28" i="4" s="1"/>
  <c r="I66" i="18"/>
  <c r="I28" i="4" s="1"/>
  <c r="H66" i="18"/>
  <c r="H28" i="4" s="1"/>
  <c r="G66" i="18"/>
  <c r="G28" i="4" s="1"/>
  <c r="F66" i="18"/>
  <c r="F28" i="4" s="1"/>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K75" i="4"/>
  <c r="J75" i="4"/>
  <c r="I75" i="4"/>
  <c r="H75" i="4"/>
  <c r="G75" i="4"/>
  <c r="F75" i="4"/>
  <c r="AN28" i="4"/>
  <c r="AM28" i="4"/>
  <c r="AH28" i="4"/>
  <c r="Y28" i="4"/>
  <c r="U28" i="4"/>
  <c r="T28" i="4"/>
  <c r="AP20" i="4"/>
  <c r="AO20" i="4"/>
  <c r="AN20" i="4"/>
  <c r="AM20" i="4"/>
  <c r="AL20" i="4"/>
  <c r="AK20" i="4"/>
  <c r="AJ20" i="4"/>
  <c r="AI20" i="4"/>
  <c r="AH20" i="4"/>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AJ31" i="10" l="1"/>
  <c r="AF31" i="10"/>
  <c r="AB31" i="10"/>
  <c r="X31" i="10"/>
  <c r="T31" i="10"/>
  <c r="P31" i="10"/>
  <c r="L31" i="10"/>
  <c r="H31" i="10"/>
  <c r="AI28" i="10"/>
  <c r="AJ18" i="10" s="1"/>
  <c r="AE28" i="10"/>
  <c r="AF18" i="10" s="1"/>
  <c r="AA28" i="10"/>
  <c r="AB18" i="10" s="1"/>
  <c r="W28" i="10"/>
  <c r="X18" i="10" s="1"/>
  <c r="S28" i="10"/>
  <c r="T18" i="10" s="1"/>
  <c r="O28" i="10"/>
  <c r="P18" i="10" s="1"/>
  <c r="K28" i="10"/>
  <c r="L18" i="10" s="1"/>
  <c r="G28" i="10"/>
  <c r="H18" i="10" s="1"/>
  <c r="AI24" i="10"/>
  <c r="AE24" i="10"/>
  <c r="AA24" i="10"/>
  <c r="AB24" i="10" s="1"/>
  <c r="W24" i="10"/>
  <c r="S24" i="10"/>
  <c r="O24" i="10"/>
  <c r="K24" i="10"/>
  <c r="G24" i="10"/>
  <c r="AI23" i="10"/>
  <c r="AJ23" i="10" s="1"/>
  <c r="AE23" i="10"/>
  <c r="AA23" i="10"/>
  <c r="AB23" i="10" s="1"/>
  <c r="W23" i="10"/>
  <c r="S23" i="10"/>
  <c r="O23" i="10"/>
  <c r="P23" i="10" s="1"/>
  <c r="K23" i="10"/>
  <c r="G23" i="10"/>
  <c r="AI17" i="10"/>
  <c r="AJ17" i="10" s="1"/>
  <c r="AE17" i="10"/>
  <c r="AF17" i="10" s="1"/>
  <c r="AA17" i="10"/>
  <c r="W17" i="10"/>
  <c r="S17" i="10"/>
  <c r="O17" i="10"/>
  <c r="P17" i="10" s="1"/>
  <c r="K17" i="10"/>
  <c r="G17" i="10"/>
  <c r="AJ16" i="10"/>
  <c r="AF16" i="10"/>
  <c r="AA16" i="10"/>
  <c r="W16" i="10"/>
  <c r="S16" i="10"/>
  <c r="AB28" i="10"/>
  <c r="AJ24" i="10" l="1"/>
  <c r="AJ25" i="10" s="1"/>
  <c r="AJ28" i="10"/>
  <c r="AJ44" i="10" s="1"/>
  <c r="AB16" i="10"/>
  <c r="AB17" i="10"/>
  <c r="X16" i="10"/>
  <c r="L23" i="10"/>
  <c r="AJ20" i="10"/>
  <c r="AF20" i="10"/>
  <c r="T23" i="10"/>
  <c r="AJ29" i="10"/>
  <c r="AB32" i="10"/>
  <c r="AB38" i="10" s="1"/>
  <c r="AB44" i="10"/>
  <c r="X24" i="10"/>
  <c r="AF24" i="10"/>
  <c r="P24" i="10"/>
  <c r="P25" i="10" s="1"/>
  <c r="AF23" i="10"/>
  <c r="P16" i="10"/>
  <c r="L28" i="10"/>
  <c r="L29" i="10" s="1"/>
  <c r="X17" i="10"/>
  <c r="L17" i="10"/>
  <c r="T24" i="10"/>
  <c r="T16" i="10"/>
  <c r="T17" i="10"/>
  <c r="T28" i="10"/>
  <c r="X23" i="10"/>
  <c r="H24" i="10"/>
  <c r="L16" i="10"/>
  <c r="H16" i="10"/>
  <c r="H17" i="10"/>
  <c r="L24" i="10"/>
  <c r="H23" i="10"/>
  <c r="X28" i="10"/>
  <c r="AB25" i="10"/>
  <c r="H28" i="10"/>
  <c r="AB29" i="10"/>
  <c r="P28" i="10"/>
  <c r="AF28" i="10"/>
  <c r="AJ32" i="10" l="1"/>
  <c r="AJ38" i="10" s="1"/>
  <c r="AJ37" i="10"/>
  <c r="AJ39" i="10" s="1"/>
  <c r="AJ43" i="10" s="1"/>
  <c r="AB20" i="10"/>
  <c r="AB37" i="10"/>
  <c r="AB39" i="10" s="1"/>
  <c r="AF25" i="10"/>
  <c r="X25" i="10"/>
  <c r="AF37" i="10"/>
  <c r="L44" i="10"/>
  <c r="P44" i="10"/>
  <c r="AF44" i="10"/>
  <c r="X20" i="10"/>
  <c r="T20" i="10"/>
  <c r="T29" i="10"/>
  <c r="T32" i="10"/>
  <c r="T38" i="10" s="1"/>
  <c r="T44" i="10"/>
  <c r="X29" i="10"/>
  <c r="X32" i="10" s="1"/>
  <c r="X38" i="10" s="1"/>
  <c r="X44" i="10"/>
  <c r="T25" i="10"/>
  <c r="L32" i="10"/>
  <c r="L38" i="10" s="1"/>
  <c r="H29" i="10"/>
  <c r="H32" i="10" s="1"/>
  <c r="H38" i="10" s="1"/>
  <c r="H44" i="10"/>
  <c r="L25" i="10"/>
  <c r="H25" i="10"/>
  <c r="P19" i="10"/>
  <c r="P36" i="10" s="1"/>
  <c r="AJ45" i="10"/>
  <c r="AF29" i="10"/>
  <c r="AF32" i="10" s="1"/>
  <c r="AF38" i="10" s="1"/>
  <c r="P29" i="10"/>
  <c r="P32" i="10" s="1"/>
  <c r="P38" i="10" s="1"/>
  <c r="AB45" i="10" l="1"/>
  <c r="AB43" i="10"/>
  <c r="AF39" i="10"/>
  <c r="X37" i="10"/>
  <c r="X39" i="10" s="1"/>
  <c r="P39" i="10"/>
  <c r="T37" i="10"/>
  <c r="T39" i="10" s="1"/>
  <c r="H19" i="10"/>
  <c r="L19" i="10"/>
  <c r="L36" i="10" s="1"/>
  <c r="L39" i="10" s="1"/>
  <c r="L43" i="10" s="1"/>
  <c r="P45" i="10" l="1"/>
  <c r="P43" i="10"/>
  <c r="T45" i="10"/>
  <c r="T43" i="10"/>
  <c r="AF45" i="10"/>
  <c r="AF43" i="10"/>
  <c r="X45" i="10"/>
  <c r="X43" i="10"/>
  <c r="H36" i="10"/>
  <c r="H39" i="10" s="1"/>
  <c r="L45" i="10"/>
  <c r="H45" i="10" l="1"/>
  <c r="H43" i="10"/>
</calcChain>
</file>

<file path=xl/sharedStrings.xml><?xml version="1.0" encoding="utf-8"?>
<sst xmlns="http://schemas.openxmlformats.org/spreadsheetml/2006/main" count="565" uniqueCount="394">
  <si>
    <t>Department of Health and Human Services</t>
  </si>
  <si>
    <t>1.</t>
  </si>
  <si>
    <t>2.</t>
  </si>
  <si>
    <t>3.</t>
  </si>
  <si>
    <t>4.</t>
  </si>
  <si>
    <t>5.</t>
  </si>
  <si>
    <t>Income from fees of uninsured plans</t>
  </si>
  <si>
    <t>Number of covered lives</t>
  </si>
  <si>
    <t>Number of groups</t>
  </si>
  <si>
    <t>Claims</t>
  </si>
  <si>
    <t>Pt 2, Ln 2.2</t>
  </si>
  <si>
    <t>Pt 2, Ln 2.4</t>
  </si>
  <si>
    <t>Pt 2, Ln 2.6</t>
  </si>
  <si>
    <t>Pt 2, Ln 2.7</t>
  </si>
  <si>
    <t>Pt 2, Ln 2.13</t>
  </si>
  <si>
    <t>Pt 2, Ln 2.14</t>
  </si>
  <si>
    <t>Pt 1, Ln 2.3</t>
  </si>
  <si>
    <t>Pt 1, Ln 2.4</t>
  </si>
  <si>
    <t>Pt 2, Ln 1.1</t>
  </si>
  <si>
    <t>Pt 2, Ln 1.2</t>
  </si>
  <si>
    <t>Pt 2, Ln 1.3</t>
  </si>
  <si>
    <t>Pt 2, Ln 1.9</t>
  </si>
  <si>
    <t>Pt 2, Ln 1.10</t>
  </si>
  <si>
    <t>Pt 1, Ln 1.2</t>
  </si>
  <si>
    <t>Pt 1, Ln 1.3</t>
  </si>
  <si>
    <t>Pt 1, Ln 1.7</t>
  </si>
  <si>
    <t>Pt 1, Ln 6.1</t>
  </si>
  <si>
    <t>Pt 1, Ln 6.2</t>
  </si>
  <si>
    <t>Pt 1, Ln 6.3</t>
  </si>
  <si>
    <t>Pt 1, Ln 8.1</t>
  </si>
  <si>
    <t>Pt 1, Ln 8.2</t>
  </si>
  <si>
    <t>Pt 1, Ln 10.1</t>
  </si>
  <si>
    <t>Pt 1, Ln 10.2</t>
  </si>
  <si>
    <t>Pt 1, Ln 12</t>
  </si>
  <si>
    <t>Pt 1, Ln 13</t>
  </si>
  <si>
    <t>Pt 1 Other, Ln 1</t>
  </si>
  <si>
    <t>Pt 1 Other, Ln 2</t>
  </si>
  <si>
    <t>Pt 1 Other, Ln 3</t>
  </si>
  <si>
    <t>Pt 1 Other, Ln 4</t>
  </si>
  <si>
    <t>Pt 1, Ln 4</t>
  </si>
  <si>
    <t>Pt 2, Ln 3</t>
  </si>
  <si>
    <t>CY</t>
  </si>
  <si>
    <t>Credibility Adjustment</t>
  </si>
  <si>
    <t>Individual</t>
  </si>
  <si>
    <t>Small Group</t>
  </si>
  <si>
    <t>Large Group</t>
  </si>
  <si>
    <t>Pt 2, Ln 2.11a</t>
  </si>
  <si>
    <t>Pt 2, Ln 2.11b</t>
  </si>
  <si>
    <t>Pt 2, Ln 2.11c</t>
  </si>
  <si>
    <t>Pt 2, Ln 2.12a</t>
  </si>
  <si>
    <t>Pt 2, Ln 2.12b</t>
  </si>
  <si>
    <t>Business in the State of:</t>
  </si>
  <si>
    <t>Expatriate</t>
  </si>
  <si>
    <t>PY2</t>
  </si>
  <si>
    <t>PY1</t>
  </si>
  <si>
    <t>Deferred CY (Subtract)</t>
  </si>
  <si>
    <t>Pt 1, Ln 2.2</t>
  </si>
  <si>
    <t>Uninsured Plans</t>
  </si>
  <si>
    <t xml:space="preserve">  </t>
  </si>
  <si>
    <t>Improve patient safety and reduce medical errors</t>
  </si>
  <si>
    <t>Wellness and health promotion activities</t>
  </si>
  <si>
    <t>Pt 1, Ln 6.4</t>
  </si>
  <si>
    <t>Pt 1, Ln 14</t>
  </si>
  <si>
    <t>Pt 2, Ln 2.8</t>
  </si>
  <si>
    <t>Pt 2, Ln 2.9</t>
  </si>
  <si>
    <t>2.10</t>
  </si>
  <si>
    <t>"Mini-Med"</t>
  </si>
  <si>
    <t>Aggregate 2% Rule</t>
  </si>
  <si>
    <t>Direct premium written</t>
  </si>
  <si>
    <t>Unearned premium prior year</t>
  </si>
  <si>
    <t>Premium balances written off</t>
  </si>
  <si>
    <t>Group conversion charges</t>
  </si>
  <si>
    <t>Direct contract reserves prior year</t>
  </si>
  <si>
    <t>All other claims adjustment expenses</t>
  </si>
  <si>
    <t>Direct sales salaries and benefits</t>
  </si>
  <si>
    <t>Agents and brokers fees and commissions</t>
  </si>
  <si>
    <t>Other general and administrative expenses</t>
  </si>
  <si>
    <t>Regulatory authority licenses and fees</t>
  </si>
  <si>
    <t>NAIC Supp. Health Care Exhibit Line</t>
  </si>
  <si>
    <t>Other taxes</t>
  </si>
  <si>
    <t>Number of life-years</t>
  </si>
  <si>
    <t>Medical Loss Ratio Numerator</t>
  </si>
  <si>
    <t>Medical Loss Ratio Denominator</t>
  </si>
  <si>
    <t>Other Health Business</t>
  </si>
  <si>
    <t>Contingent benefit and lawsuit reserves</t>
  </si>
  <si>
    <t>Pt 2, Ln 1.5</t>
  </si>
  <si>
    <t>Pt 2, Ln 1.7</t>
  </si>
  <si>
    <t>Pt 3, Col 7, Ln 1.11/ 2.11/3.11/5.11/6.11</t>
  </si>
  <si>
    <t>Member months</t>
  </si>
  <si>
    <t>Preliminary MLR</t>
  </si>
  <si>
    <t>MLR standard</t>
  </si>
  <si>
    <t>Direct claim liability prior year</t>
  </si>
  <si>
    <t>Direct claim reserves prior year</t>
  </si>
  <si>
    <t>Pt 2, Ln 2.10</t>
  </si>
  <si>
    <t>Pt 2, Ln 2.3</t>
  </si>
  <si>
    <t>Pt 2, Ln 2.5</t>
  </si>
  <si>
    <t>Pt 2, Ln 2.1</t>
  </si>
  <si>
    <t>Pt 1, Ln 1.1</t>
  </si>
  <si>
    <t>Pt 2, Ln 1.6</t>
  </si>
  <si>
    <t>Reserve for experience rating refunds (rate credits) prior year</t>
  </si>
  <si>
    <t>Experience rating refunds (rate credits) paid</t>
  </si>
  <si>
    <t>Government Program Plans</t>
  </si>
  <si>
    <t xml:space="preserve">  3.2 b   State premium taxes </t>
  </si>
  <si>
    <t>Premium</t>
  </si>
  <si>
    <t>Pt 1, Ln 1.11</t>
  </si>
  <si>
    <t>MLR Reporting Year:</t>
  </si>
  <si>
    <t>Incurred medical incentive pool and bonuses</t>
  </si>
  <si>
    <t>Pt 1, Ln 1.9</t>
  </si>
  <si>
    <t>Pt 1, Ln 1.10</t>
  </si>
  <si>
    <t>Risk revenue</t>
  </si>
  <si>
    <t>Rebates paid</t>
  </si>
  <si>
    <t>Estimated rebates unpaid at the end of the prior MLR reporting year</t>
  </si>
  <si>
    <t>Fee-for-service and co-pay revenue (net of expenses)</t>
  </si>
  <si>
    <t>Pt 1, Ln 5.1</t>
  </si>
  <si>
    <t>Pt 1, Ln 5.2</t>
  </si>
  <si>
    <t>Pt 1, Ln 5.3</t>
  </si>
  <si>
    <t>Pt 1, Ln 5.4</t>
  </si>
  <si>
    <t>Pt 1, Ln 5.5</t>
  </si>
  <si>
    <t>Pt 1, Ln 5.6</t>
  </si>
  <si>
    <t>Improve health outcomes</t>
  </si>
  <si>
    <t>Estimated rebates unpaid at the end of the current MLR reporting year</t>
  </si>
  <si>
    <t>Number of policies/certificates</t>
  </si>
  <si>
    <t>Merge Markets - Ind/SmGrp (MA Only)</t>
  </si>
  <si>
    <t>Health Insurance Coverage</t>
  </si>
  <si>
    <t>Unearned premium MLR Reporting year</t>
  </si>
  <si>
    <t>Deferred PY1 (Add)</t>
  </si>
  <si>
    <t>Direct claim liability</t>
  </si>
  <si>
    <t>Direct claim reserves</t>
  </si>
  <si>
    <t>Direct contract reserves</t>
  </si>
  <si>
    <t>Reserve for experience rating refunds (rate credits)</t>
  </si>
  <si>
    <t>Blended rate adjustment</t>
  </si>
  <si>
    <t>Reserve for experience rating refunds (rate credits) MLR Reporting year</t>
  </si>
  <si>
    <t>Part 4 - MLR and Rebate Calculation</t>
  </si>
  <si>
    <t>Total direct premium earned</t>
  </si>
  <si>
    <t>Federal taxes and assessments incurred by the reporting issuer during the MLR reporting year</t>
  </si>
  <si>
    <t>Pt 2, Ln 2.15</t>
  </si>
  <si>
    <t>Pt 1, Ln 5.0</t>
  </si>
  <si>
    <t>Claims Paid</t>
  </si>
  <si>
    <t xml:space="preserve">Total </t>
  </si>
  <si>
    <t>Total</t>
  </si>
  <si>
    <t>Pt 1, Ln 1.6a</t>
  </si>
  <si>
    <t>Other adjustments due to MLR calculations – claims incurred</t>
  </si>
  <si>
    <t xml:space="preserve">  3.2 a   State income, excise, business, and other taxes</t>
  </si>
  <si>
    <t>1.4b Experience rating refunds associated with premium earned only in the reporting year and paid through 3/31 of the following year</t>
  </si>
  <si>
    <t>2.4b Reserves for claims incurred only during the MLR reporting year, calculated as of 3/31 of the following year</t>
  </si>
  <si>
    <t>2.2b Liability for claims incurred only during the MLR reporting year, calculated as of 3/31 of the following year</t>
  </si>
  <si>
    <t>2.8b Experience rating refunds associated with premium earned only in the reporting year and paid through 3/31 of the following year</t>
  </si>
  <si>
    <t>ICD-10 implementation expenses (informational only; include amounts reported in Sections 4 &amp; 5)</t>
  </si>
  <si>
    <t>Community benefit expenditures (informational only; include amounts reported in Sections 3 &amp; 5)</t>
  </si>
  <si>
    <t>5.5a   Taxes and assessments not excluded from premium (not reported in Section 3 or Line 9)</t>
  </si>
  <si>
    <t>5.5b   Fines and penalties of regulatory authorities (not reported in Line 3.3)</t>
  </si>
  <si>
    <t>Adjusted incurred claims as reported on MLR Form for prior year(s)</t>
  </si>
  <si>
    <t>Pt 1, Ln 16a</t>
  </si>
  <si>
    <t>Pt 1, Ln 16</t>
  </si>
  <si>
    <t>Pt 1, Ln 10.4a</t>
  </si>
  <si>
    <t>Total incurred claims</t>
  </si>
  <si>
    <t>Federal and State Taxes and Licensing or Regulatory Fees</t>
  </si>
  <si>
    <t xml:space="preserve">Non-Claims Costs </t>
  </si>
  <si>
    <t xml:space="preserve">Other Indicators or information </t>
  </si>
  <si>
    <r>
      <t>Premium</t>
    </r>
    <r>
      <rPr>
        <sz val="10"/>
        <rFont val="Arial"/>
        <family val="2"/>
      </rPr>
      <t>:</t>
    </r>
  </si>
  <si>
    <r>
      <t>Claims</t>
    </r>
    <r>
      <rPr>
        <sz val="10"/>
        <rFont val="Arial"/>
        <family val="2"/>
      </rPr>
      <t>:</t>
    </r>
  </si>
  <si>
    <t>2.6a Direct contract reserves 12/31 column</t>
  </si>
  <si>
    <t>2.6b Direct contract reserves 3/31, dual contract, deferred columns</t>
  </si>
  <si>
    <t xml:space="preserve">Total incurred claims </t>
  </si>
  <si>
    <t>State insurance, premium and other taxes incurred by the reporting issuer during the MLR reporting year (deductible from premium in MLR calculation)</t>
  </si>
  <si>
    <t>2.9b Reserves specific to the MLR reporting year through 3/31 of the following year</t>
  </si>
  <si>
    <t xml:space="preserve">Quality improvement expenses </t>
  </si>
  <si>
    <t xml:space="preserve">MLR rebates paid based on 2011 or 2012 experience </t>
  </si>
  <si>
    <r>
      <t>MLR numerator</t>
    </r>
    <r>
      <rPr>
        <sz val="10"/>
        <color rgb="FFFF0000"/>
        <rFont val="Arial"/>
        <family val="2"/>
      </rPr>
      <t xml:space="preserve"> </t>
    </r>
  </si>
  <si>
    <t xml:space="preserve">Premium earned including Federal and State high risk programs </t>
  </si>
  <si>
    <t>Federal and State taxes and licensing or regulatory fees</t>
  </si>
  <si>
    <t xml:space="preserve">MLR Denominator (Line 2.1 - Line 2.2) </t>
  </si>
  <si>
    <t xml:space="preserve">Base credibility factor </t>
  </si>
  <si>
    <r>
      <t>Average deductible</t>
    </r>
    <r>
      <rPr>
        <sz val="10"/>
        <color rgb="FFFF0000"/>
        <rFont val="Arial"/>
        <family val="2"/>
      </rPr>
      <t xml:space="preserve"> </t>
    </r>
  </si>
  <si>
    <t xml:space="preserve">Deductible factor </t>
  </si>
  <si>
    <r>
      <t>Credibility adjustment (Lines 3.2 x 3.4 (do not round))</t>
    </r>
    <r>
      <rPr>
        <sz val="10"/>
        <color rgb="FFFF0000"/>
        <rFont val="Arial"/>
        <family val="2"/>
      </rPr>
      <t xml:space="preserve"> </t>
    </r>
  </si>
  <si>
    <t>Rebate Calculation</t>
  </si>
  <si>
    <t>Rebate amount if credibility-adjusted MLR is less than MLR standard (Lines (5.1 - 5.2) X 5.3)</t>
  </si>
  <si>
    <t>MLR Calculation (for issuers with at least 1,000 life years in the Total column of Line 3.1)</t>
  </si>
  <si>
    <t>Federal high risk pools</t>
  </si>
  <si>
    <t>State high risk pools</t>
  </si>
  <si>
    <t xml:space="preserve">  3.2 c   Community benefit expenditures deductible from premium in MLR calculations</t>
  </si>
  <si>
    <t xml:space="preserve">Adjusted incurred claims as of 3/31 of the year following the MLR reporting year </t>
  </si>
  <si>
    <t>Activities to prevent hospital readmission</t>
  </si>
  <si>
    <t xml:space="preserve">Other Federal income taxes (excluding taxes on line 3.1 above) </t>
  </si>
  <si>
    <t>2.2a Liability as of 12/31 of MLR reporting year for all claims regardless of incurred date</t>
  </si>
  <si>
    <t>2.4a Reserves as of 12/31 of MLR reporting year for all claims regardless of incurred date</t>
  </si>
  <si>
    <t>2.9a Reserved in MLR reporting year regardless of incurred date</t>
  </si>
  <si>
    <t xml:space="preserve">  3.1 b  Other Federal Taxes (other than income tax) and assessments deductible from premium </t>
  </si>
  <si>
    <t xml:space="preserve">Health Care Quality Improvement Expenses Incurred </t>
  </si>
  <si>
    <t>Health information technology expenses related to healthcare quality</t>
  </si>
  <si>
    <t xml:space="preserve">Net investment income and other gain / (loss) </t>
  </si>
  <si>
    <t>Premium assumed under 100% reinsurance (informational only; already included in Line 1.1)</t>
  </si>
  <si>
    <t>2.1b  Claims incurred only during the MLR reporting year, paid through 3/31 of the following year</t>
  </si>
  <si>
    <t>2.11a  Paid medical incentive pools and bonuses MLR Reporting year</t>
  </si>
  <si>
    <t>2.11b  Accrued medical incentive pools and bonuses MLR Reporting year</t>
  </si>
  <si>
    <t>2.11c  Accrued medical incentive pools and bonuses prior year</t>
  </si>
  <si>
    <t xml:space="preserve">Net healthcare receivables </t>
  </si>
  <si>
    <t>2.12a  Healthcare receivables MLR Reporting year</t>
  </si>
  <si>
    <t>2.12b  Healthcare receivables prior year</t>
  </si>
  <si>
    <t>2.17a  Total fraud reduction expense</t>
  </si>
  <si>
    <t>2.17b  Total fraud recoveries that reduced paid claims in Line 2.1</t>
  </si>
  <si>
    <t>Cost containment expenses not included in quality improvement expenses in Section 4</t>
  </si>
  <si>
    <t>1.4a Experience rating refunds, with all incurred dates, paid in the MLR reporting year</t>
  </si>
  <si>
    <t>Allowable fraud reduction expense (the smaller of Lines 2.17a or 2.17b)</t>
  </si>
  <si>
    <t>2.8a Experience rating refunds, with all incurred dates, paid in the MLR reporting year</t>
  </si>
  <si>
    <t>2.1a  Claims paid during the MLR reporting year regardless of incurred date</t>
  </si>
  <si>
    <t>6.</t>
  </si>
  <si>
    <t>7.</t>
  </si>
  <si>
    <t>8.</t>
  </si>
  <si>
    <t>9.</t>
  </si>
  <si>
    <t>Premium ceded under 100% reinsurance (informational only; excluded from Line 1.1)</t>
  </si>
  <si>
    <t>4.1a  Preliminary MLR (Lines 1.5 / 2.3)</t>
  </si>
  <si>
    <t>Credibility-adjusted MLR (Lines 4.1a or 4.1b + 4.2)</t>
  </si>
  <si>
    <t>Credibility-adjusted MLR (Line 4.3)</t>
  </si>
  <si>
    <t>Credibility adjustment (Line 3.5, if applicable)</t>
  </si>
  <si>
    <t>Net assumed less ceded reinsurance premium earned (exclude amounts already reported in Line 1.1)</t>
  </si>
  <si>
    <t>Other adjustments due to MLR calculations - premium</t>
  </si>
  <si>
    <t>Net assumed less ceded claims incurred (exclude amounts already reported in Line 2.1)</t>
  </si>
  <si>
    <t xml:space="preserve">  3.1 a  Federal income taxes deductible from premium in MLR calculations </t>
  </si>
  <si>
    <t>Pt 1, Ln 6.5</t>
  </si>
  <si>
    <t xml:space="preserve">Life Years to determine credibility </t>
  </si>
  <si>
    <t>4.1b  Preliminary MLR: "Mini-Med" and Expatriate (Lines 1.6 / 2.3)</t>
  </si>
  <si>
    <t>Part 1 - Summary of Data</t>
  </si>
  <si>
    <t>Part 2 - Premium and Claims</t>
  </si>
  <si>
    <t>Cell Keys:</t>
  </si>
  <si>
    <t>Blank cells require input from issuer</t>
  </si>
  <si>
    <t>Table 1</t>
  </si>
  <si>
    <t>Table 3</t>
  </si>
  <si>
    <t>Table 4</t>
  </si>
  <si>
    <t>Table 5</t>
  </si>
  <si>
    <t>Base Credibility Adjustment Factors</t>
  </si>
  <si>
    <t>State and Territory Names</t>
  </si>
  <si>
    <t>Reporting Years</t>
  </si>
  <si>
    <t>Yes/No</t>
  </si>
  <si>
    <t>Life Years</t>
  </si>
  <si>
    <t>Base credibility factor</t>
  </si>
  <si>
    <t>Alaska</t>
  </si>
  <si>
    <t>Yes</t>
  </si>
  <si>
    <t>Alabama</t>
  </si>
  <si>
    <t>No</t>
  </si>
  <si>
    <t>Arkansas</t>
  </si>
  <si>
    <t>American Samoa</t>
  </si>
  <si>
    <t>Arizona</t>
  </si>
  <si>
    <t>California</t>
  </si>
  <si>
    <t>Canada</t>
  </si>
  <si>
    <t>Colorado</t>
  </si>
  <si>
    <t>Connecticut</t>
  </si>
  <si>
    <t>District of Columbia</t>
  </si>
  <si>
    <t>Delaware</t>
  </si>
  <si>
    <t>Table 2</t>
  </si>
  <si>
    <t>Florida</t>
  </si>
  <si>
    <t>Deductible Factors</t>
  </si>
  <si>
    <t>Georgia</t>
  </si>
  <si>
    <t>Average Health Plan Deductible</t>
  </si>
  <si>
    <t>Deductible factor</t>
  </si>
  <si>
    <t>Grand Total</t>
  </si>
  <si>
    <t>Guam</t>
  </si>
  <si>
    <t>Hawaii</t>
  </si>
  <si>
    <t>Iowa</t>
  </si>
  <si>
    <t>Idaho</t>
  </si>
  <si>
    <t>Illinois</t>
  </si>
  <si>
    <t>Indiana</t>
  </si>
  <si>
    <t>Kansas</t>
  </si>
  <si>
    <t>Kentucky</t>
  </si>
  <si>
    <t>Louisiana</t>
  </si>
  <si>
    <t>Massachusetts</t>
  </si>
  <si>
    <t>Maryland</t>
  </si>
  <si>
    <t>Maine</t>
  </si>
  <si>
    <t>Michigan</t>
  </si>
  <si>
    <t>Minnesota</t>
  </si>
  <si>
    <t>Missouri</t>
  </si>
  <si>
    <t>MP</t>
  </si>
  <si>
    <t>Mississippi</t>
  </si>
  <si>
    <t>Montana</t>
  </si>
  <si>
    <t>North Carolina</t>
  </si>
  <si>
    <t>North Dakota</t>
  </si>
  <si>
    <t>Nebraska</t>
  </si>
  <si>
    <t>New Hampshire</t>
  </si>
  <si>
    <t>New Jersey</t>
  </si>
  <si>
    <t>New Mexico</t>
  </si>
  <si>
    <t>Nevada</t>
  </si>
  <si>
    <t>New York</t>
  </si>
  <si>
    <t>Ohio</t>
  </si>
  <si>
    <t>Oklahoma</t>
  </si>
  <si>
    <t>Oregon</t>
  </si>
  <si>
    <t>Other Territories</t>
  </si>
  <si>
    <t>Pennsylvania</t>
  </si>
  <si>
    <t>Puerto Rico</t>
  </si>
  <si>
    <t>Rhode Island</t>
  </si>
  <si>
    <t>South Carolina</t>
  </si>
  <si>
    <t>South Dakota</t>
  </si>
  <si>
    <t>Tennessee</t>
  </si>
  <si>
    <t>Texas</t>
  </si>
  <si>
    <t>Utah</t>
  </si>
  <si>
    <t>Virginia</t>
  </si>
  <si>
    <t>Virgin Islands</t>
  </si>
  <si>
    <t>Vermont</t>
  </si>
  <si>
    <t>Washington</t>
  </si>
  <si>
    <t>Wisconsin</t>
  </si>
  <si>
    <t>West Virginia</t>
  </si>
  <si>
    <t>Wyoming</t>
  </si>
  <si>
    <t>MLR numerator "Mini-Med" and Expatriate
(MLR numerator x adjustment factor)</t>
  </si>
  <si>
    <t>Total as of 12/31/12</t>
  </si>
  <si>
    <t>Total as of 3/31/13</t>
  </si>
  <si>
    <t>Dual Contract (Included in 3/31/13)</t>
  </si>
  <si>
    <t>Grand Total as of 12/31/12 for ALL markets in col. 1-35</t>
  </si>
  <si>
    <t>Prescription drugs
(informational only; already included in total incurred claims above)</t>
  </si>
  <si>
    <t>Pharmaceutical rebates
(informational only; already excluded from total incurred claims above)</t>
  </si>
  <si>
    <t>State stop loss, market stabilization and claim/census based assessments
(informational only; already excluded from total incurred claims above)</t>
  </si>
  <si>
    <t>Adjusted earned premium less Federal and State taxes and licensing or regulatory fees ((Line 2.3, column CY only)</t>
  </si>
  <si>
    <t>Allowable Implementation ICD-10 expenses (not to exceed 0.3% of premium)</t>
  </si>
  <si>
    <t/>
  </si>
  <si>
    <t>Pink cells require no data input</t>
  </si>
  <si>
    <t>Grey cells require no data input</t>
  </si>
  <si>
    <t>Blue cells contain equations and should not be edited by the issuer</t>
  </si>
  <si>
    <t>Yellow cells contain equations and should not be edited by the issuer</t>
  </si>
  <si>
    <t>Medical Loss Ratio Reporting Form - Formula Tool</t>
  </si>
  <si>
    <r>
      <rPr>
        <b/>
        <sz val="11"/>
        <rFont val="Arial"/>
        <family val="2"/>
      </rPr>
      <t xml:space="preserve">Part 1
</t>
    </r>
    <r>
      <rPr>
        <b/>
        <sz val="10"/>
        <color rgb="FFFF0000"/>
        <rFont val="Arial"/>
        <family val="2"/>
      </rPr>
      <t>NOTE: REFER TO MLR INSTRUCTIONS, FORMULAS RESOURCE AND TABLES RESOURCE FOR IMPORTANT INFORMATION ABOUT COMPLETING EACH COLUMN AND ROW.</t>
    </r>
  </si>
  <si>
    <r>
      <rPr>
        <b/>
        <sz val="11"/>
        <rFont val="Arial"/>
        <family val="2"/>
      </rPr>
      <t xml:space="preserve">Part 2
</t>
    </r>
    <r>
      <rPr>
        <b/>
        <sz val="10"/>
        <color rgb="FFFF0000"/>
        <rFont val="Arial"/>
        <family val="2"/>
      </rPr>
      <t>NOTE: REFER TO MLR INSTRUCTIONS, FORMULAS RESOURCE AND TABLES RESOURCE FOR IMPORTANT INFORMATION ABOUT COMPLETING EACH COLUMN AND ROW.</t>
    </r>
  </si>
  <si>
    <r>
      <rPr>
        <b/>
        <sz val="11"/>
        <rFont val="Arial"/>
        <family val="2"/>
      </rPr>
      <t xml:space="preserve">Part 4
</t>
    </r>
    <r>
      <rPr>
        <b/>
        <sz val="10"/>
        <color rgb="FFFF0000"/>
        <rFont val="Arial"/>
        <family val="2"/>
      </rPr>
      <t>NOTE: REFER TO MLR INSTRUCTIONS, FORMULAS RESOURCE AND TABLES RESOURCE FOR IMPORTANT INFORMATION ABOUT COMPLETING EACH COLUMN AND ROW.</t>
    </r>
  </si>
  <si>
    <t>(a) Do one of the following:</t>
  </si>
  <si>
    <t>Step 3.</t>
  </si>
  <si>
    <t xml:space="preserve">(b) Make sure that all data fields that require entry (blank cells), except for those that require calculations (blue and yellow cells), are populated, where appropriate.  </t>
  </si>
  <si>
    <t>(d) To ensure that the Formula Calculator functions correctly, do NOT insert or delete rows or columns anywhere in this file.</t>
  </si>
  <si>
    <t xml:space="preserve"> sample HIOS template filename.xls</t>
  </si>
  <si>
    <r>
      <rPr>
        <b/>
        <sz val="10"/>
        <rFont val="Arial"/>
        <family val="2"/>
      </rPr>
      <t>Step 4.</t>
    </r>
    <r>
      <rPr>
        <sz val="10"/>
        <rFont val="Arial"/>
        <family val="2"/>
      </rPr>
      <t xml:space="preserve"> </t>
    </r>
  </si>
  <si>
    <r>
      <rPr>
        <b/>
        <sz val="10"/>
        <rFont val="Arial"/>
        <family val="2"/>
      </rPr>
      <t>Step 5.</t>
    </r>
    <r>
      <rPr>
        <sz val="10"/>
        <rFont val="Arial"/>
        <family val="2"/>
      </rPr>
      <t xml:space="preserve"> Review the HIOS template file to ensure that it has been correctly and accurately populated before saving it.</t>
    </r>
  </si>
  <si>
    <r>
      <t>(i) Use the calculated fields in Parts 1, 2, and 4 of this file to complete the corresponding fields of your HIOS template file.  Make sure to use "</t>
    </r>
    <r>
      <rPr>
        <u/>
        <sz val="10"/>
        <rFont val="Arial"/>
        <family val="2"/>
      </rPr>
      <t>Paste Special: Values</t>
    </r>
    <r>
      <rPr>
        <sz val="10"/>
        <rFont val="Arial"/>
        <family val="2"/>
      </rPr>
      <t xml:space="preserve">" option in order to avoid pasting formulas into the HIOS template file; OR </t>
    </r>
  </si>
  <si>
    <r>
      <t xml:space="preserve">(ii) To have the Formula Calculator copy the data into your HIOS template file, enter the destination HIOS template filename in the green box below, and click the "Copy to HIOS Template" button.  Please note that if you use the Formula Calculator copy functionality, </t>
    </r>
    <r>
      <rPr>
        <u/>
        <sz val="10"/>
        <rFont val="Arial"/>
        <family val="2"/>
      </rPr>
      <t>all</t>
    </r>
    <r>
      <rPr>
        <sz val="10"/>
        <rFont val="Arial"/>
        <family val="2"/>
      </rPr>
      <t xml:space="preserve"> fields (blank, blue, and yellow cells) will be copied over.</t>
    </r>
  </si>
  <si>
    <r>
      <rPr>
        <b/>
        <sz val="10"/>
        <rFont val="Arial"/>
        <family val="2"/>
      </rPr>
      <t>Step 2.</t>
    </r>
    <r>
      <rPr>
        <sz val="10"/>
        <rFont val="Arial"/>
        <family val="2"/>
      </rPr>
      <t xml:space="preserve">  Make sure that this Formula Calculator file is placed in and opened from the </t>
    </r>
    <r>
      <rPr>
        <u/>
        <sz val="10"/>
        <rFont val="Arial"/>
        <family val="2"/>
      </rPr>
      <t>same folder</t>
    </r>
    <r>
      <rPr>
        <sz val="10"/>
        <rFont val="Arial"/>
        <family val="2"/>
      </rPr>
      <t xml:space="preserve"> as the destination HIOS template file.</t>
    </r>
  </si>
  <si>
    <t>(i) Populate the blank cells on Parts 1, 2, and the relevant portions of Part 4 of the HIOS template file, and copy these data into the corresponding cells of this Formula Calculator file; OR</t>
  </si>
  <si>
    <t>(ii) Populate the blank cells on Parts 1, 2, and the relevant portions of Part 4 of this Formula Calculator file, as you would populate the HIOS template file.</t>
  </si>
  <si>
    <r>
      <t xml:space="preserve">(c) You do not need to populate the header information of this Formula Calculator file.  
However, if using a template for Massachusetts </t>
    </r>
    <r>
      <rPr>
        <u/>
        <sz val="10"/>
        <rFont val="Arial"/>
        <family val="2"/>
      </rPr>
      <t>and</t>
    </r>
    <r>
      <rPr>
        <sz val="10"/>
        <rFont val="Arial"/>
        <family val="2"/>
      </rPr>
      <t xml:space="preserve"> merging Individual and Small Group markets, ensure that "Business in the State of" is set to "Massachusetts" and "Merge Markets - Ind/SmGrp (MA Only)" option is set to "Yes" on the "Pt 1 - Summary of Data" tab of </t>
    </r>
    <r>
      <rPr>
        <u/>
        <sz val="10"/>
        <rFont val="Arial"/>
        <family val="2"/>
      </rPr>
      <t>this</t>
    </r>
    <r>
      <rPr>
        <sz val="10"/>
        <rFont val="Arial"/>
        <family val="2"/>
      </rPr>
      <t xml:space="preserve"> file.</t>
    </r>
  </si>
  <si>
    <r>
      <rPr>
        <b/>
        <sz val="10"/>
        <rFont val="Arial"/>
        <family val="2"/>
      </rPr>
      <t>Step 1.</t>
    </r>
    <r>
      <rPr>
        <sz val="10"/>
        <rFont val="Arial"/>
        <family val="2"/>
      </rPr>
      <t xml:space="preserve">  Companies must download and use the HIOS template file(s) from the HIOS MLR module.  Do </t>
    </r>
    <r>
      <rPr>
        <u/>
        <sz val="10"/>
        <rFont val="Arial"/>
        <family val="2"/>
      </rPr>
      <t>not</t>
    </r>
    <r>
      <rPr>
        <sz val="10"/>
        <rFont val="Arial"/>
        <family val="2"/>
      </rPr>
      <t xml:space="preserve"> use the MLR Form file posted on the MLR page of CCIIO's website, or this Formula Calculator file, to file MLR data in HIOS.</t>
    </r>
  </si>
  <si>
    <t>2012 MLR Annual Reporting Form: Formula Resource</t>
  </si>
  <si>
    <t>2012 Form Line</t>
  </si>
  <si>
    <t>2012 Form Calculation References</t>
  </si>
  <si>
    <r>
      <rPr>
        <b/>
        <sz val="10"/>
        <rFont val="Arial"/>
        <family val="2"/>
      </rPr>
      <t>Part 1 Line 1.1</t>
    </r>
    <r>
      <rPr>
        <sz val="10"/>
        <rFont val="Arial"/>
      </rPr>
      <t xml:space="preserve">
(Total direct premium earned)</t>
    </r>
  </si>
  <si>
    <t>Part 2 Lines 1.1 + 1.2 – 1.3 – 1.7 + 1.8</t>
  </si>
  <si>
    <r>
      <rPr>
        <b/>
        <sz val="10"/>
        <rFont val="Arial"/>
        <family val="2"/>
      </rPr>
      <t xml:space="preserve">Part 1 Line 2.1 </t>
    </r>
    <r>
      <rPr>
        <sz val="10"/>
        <rFont val="Arial"/>
      </rPr>
      <t xml:space="preserve">
(Total incurred claims)</t>
    </r>
  </si>
  <si>
    <r>
      <t xml:space="preserve">Part 2 Line 2.16
</t>
    </r>
    <r>
      <rPr>
        <i/>
        <sz val="10"/>
        <rFont val="Arial"/>
        <family val="2"/>
      </rPr>
      <t>Please note that on the 2011 MLR Form, this line was equal to Part 2 Lines 2.16 + 2.17</t>
    </r>
  </si>
  <si>
    <r>
      <rPr>
        <b/>
        <sz val="10"/>
        <rFont val="Arial"/>
        <family val="2"/>
      </rPr>
      <t>Part 1 Line 7.5</t>
    </r>
    <r>
      <rPr>
        <sz val="10"/>
        <rFont val="Arial"/>
      </rPr>
      <t xml:space="preserve">
(Life-years)</t>
    </r>
  </si>
  <si>
    <t>Part 1 Line 7.4 / 12</t>
  </si>
  <si>
    <r>
      <rPr>
        <b/>
        <sz val="10"/>
        <rFont val="Arial"/>
        <family val="2"/>
      </rPr>
      <t>Part 2 Line 2.16</t>
    </r>
    <r>
      <rPr>
        <sz val="10"/>
        <rFont val="Arial"/>
      </rPr>
      <t xml:space="preserve">
(Total incurred claims)</t>
    </r>
  </si>
  <si>
    <r>
      <rPr>
        <b/>
        <sz val="10"/>
        <rFont val="Arial"/>
        <family val="2"/>
      </rPr>
      <t xml:space="preserve">Column "Total as of 12/31/12": </t>
    </r>
    <r>
      <rPr>
        <sz val="10"/>
        <rFont val="Arial"/>
      </rPr>
      <t xml:space="preserve">
Part 2 Lines 2.1a + 2.2a – 2.3 + 2.4a – 2.5 + 2.6a – 2.7 + 2.8a + 2.9a – 2.10 + 2.11a + 2.11b – 2.11c – 2.12a + 2.12b + 2.13 + 2.14 + 2.15
All other columns ("3/31/13", "Dual Contract", "Deferred PY1", "Deferred CY"):
Part 2 Lines 2.1b + 2.2b + 2.4b + 2.6b – 2.7 + 2.8b + 2.9b + 2.11a + 2.11b – 2.12a + 2.13 + 2.14 + 2.15</t>
    </r>
  </si>
  <si>
    <r>
      <rPr>
        <b/>
        <sz val="10"/>
        <rFont val="Arial"/>
        <family val="2"/>
      </rPr>
      <t>Part 2 Line 2.17</t>
    </r>
    <r>
      <rPr>
        <sz val="10"/>
        <rFont val="Arial"/>
      </rPr>
      <t xml:space="preserve">
(Allowable fraud reduction expense)</t>
    </r>
  </si>
  <si>
    <t>The lesser of: Part 2 Line 2.17a or 2.17b</t>
  </si>
  <si>
    <r>
      <rPr>
        <b/>
        <sz val="10"/>
        <rFont val="Arial"/>
        <family val="2"/>
      </rPr>
      <t>Part 4 Line 1.1</t>
    </r>
    <r>
      <rPr>
        <sz val="10"/>
        <rFont val="Arial"/>
      </rPr>
      <t xml:space="preserve">
(Adjusted incurred claims as reported on MLR Form for prior year(s))</t>
    </r>
  </si>
  <si>
    <r>
      <rPr>
        <b/>
        <sz val="10"/>
        <rFont val="Arial"/>
        <family val="2"/>
      </rPr>
      <t>Column "PY1":</t>
    </r>
    <r>
      <rPr>
        <sz val="10"/>
        <rFont val="Arial"/>
      </rPr>
      <t xml:space="preserve">
2011 MLR Form, Part 1 Line 2.1, Columns "3/31/YY" + "Deferred PY" – "Deferred CY"</t>
    </r>
  </si>
  <si>
    <r>
      <rPr>
        <b/>
        <sz val="10"/>
        <rFont val="Arial"/>
        <family val="2"/>
      </rPr>
      <t>Part 4 Line 1.2</t>
    </r>
    <r>
      <rPr>
        <sz val="10"/>
        <rFont val="Arial"/>
      </rPr>
      <t xml:space="preserve">
(Adjusted incurred claims as of 3/31 of the year following the MLR reporting year)</t>
    </r>
  </si>
  <si>
    <r>
      <rPr>
        <b/>
        <sz val="10"/>
        <rFont val="Arial"/>
        <family val="2"/>
      </rPr>
      <t>Column "PY1":</t>
    </r>
    <r>
      <rPr>
        <sz val="10"/>
        <rFont val="Arial"/>
      </rPr>
      <t xml:space="preserve">
Adjusted claims incurred in the 2011 MLR reporting year, restated as of 3/31/13
</t>
    </r>
    <r>
      <rPr>
        <b/>
        <sz val="10"/>
        <rFont val="Arial"/>
        <family val="2"/>
      </rPr>
      <t>Column "CY":</t>
    </r>
    <r>
      <rPr>
        <sz val="10"/>
        <rFont val="Arial"/>
      </rPr>
      <t xml:space="preserve">
(Part 2 Line 2.16 Columns "3/31/13" + "Deferred PY1" – "Deferred CY") + 
(Part 2 Line 2.17 Columns "3/31/13" + "Deferred PY1" – "Deferred CY")
</t>
    </r>
    <r>
      <rPr>
        <b/>
        <sz val="10"/>
        <rFont val="Arial"/>
        <family val="2"/>
      </rPr>
      <t xml:space="preserve">Column "Total": </t>
    </r>
    <r>
      <rPr>
        <sz val="10"/>
        <rFont val="Arial"/>
      </rPr>
      <t xml:space="preserve">
   </t>
    </r>
    <r>
      <rPr>
        <sz val="10"/>
        <rFont val="Calibri"/>
        <family val="2"/>
      </rPr>
      <t>●</t>
    </r>
    <r>
      <rPr>
        <sz val="10"/>
        <rFont val="Arial"/>
      </rPr>
      <t xml:space="preserve"> if Column "CY" Part 4 Line 3.1 &lt; 75,000: 
      Part 4 Line 1.2 Columns PY1 + CY
   ● if Column "CY" Part 4 Line 3.1 ≥ 75,000: 
      Part 4 Line 1.2 Column CY</t>
    </r>
  </si>
  <si>
    <r>
      <rPr>
        <b/>
        <sz val="10"/>
        <rFont val="Arial"/>
        <family val="2"/>
      </rPr>
      <t>Part 4 Line 1.3</t>
    </r>
    <r>
      <rPr>
        <sz val="10"/>
        <rFont val="Arial"/>
      </rPr>
      <t xml:space="preserve">
(Quality improvement expenses)</t>
    </r>
  </si>
  <si>
    <r>
      <rPr>
        <b/>
        <sz val="10"/>
        <rFont val="Arial"/>
        <family val="2"/>
      </rPr>
      <t>Column "PY1":</t>
    </r>
    <r>
      <rPr>
        <sz val="10"/>
        <rFont val="Arial"/>
      </rPr>
      <t xml:space="preserve">
2011 MLR Form, Part 1 Line 4.6, Columns "3/31/YY" + "Deferred PY" – "Deferred CY"
</t>
    </r>
    <r>
      <rPr>
        <b/>
        <sz val="10"/>
        <rFont val="Arial"/>
        <family val="2"/>
      </rPr>
      <t>Column "CY":</t>
    </r>
    <r>
      <rPr>
        <sz val="10"/>
        <rFont val="Arial"/>
      </rPr>
      <t xml:space="preserve">
(Part 1 Line 4.1 Columns "3/31/13" + "Deferred PY1" – "Deferred CY") + 
(Part 1 Line 4.2 Columns "3/31/13" + "Deferred PY1" – "Deferred CY") + 
(Part 1 Line 4.3 Columns "3/31/13" + "Deferred PY1" – "Deferred CY") + 
(Part 1 Line 4.4 Columns "3/31/13" + "Deferred PY1" – "Deferred CY") + 
(Part 1 Line 4.5 Columns "3/31/13" + "Deferred PY1" – "Deferred CY") + 
(Part 1 Line 4.6 Columns "3/31/13" + "Deferred PY1" – "Deferred CY")
</t>
    </r>
    <r>
      <rPr>
        <b/>
        <sz val="10"/>
        <rFont val="Arial"/>
        <family val="2"/>
      </rPr>
      <t xml:space="preserve">Column "Total": </t>
    </r>
    <r>
      <rPr>
        <sz val="10"/>
        <rFont val="Arial"/>
      </rPr>
      <t xml:space="preserve">
   ● if Column "CY" Part 4 Line 3.1 &lt; 75,000: 
      Part 4 Line 1.3 Columns PY1 + CY
   ● if Column "CY" Part 4 Line 3.1 ≥ 75,000: 
      Part 4 Line 1.3 Column CY</t>
    </r>
  </si>
  <si>
    <r>
      <rPr>
        <b/>
        <sz val="10"/>
        <rFont val="Arial"/>
        <family val="2"/>
      </rPr>
      <t>Part 4 Line 1.4</t>
    </r>
    <r>
      <rPr>
        <sz val="10"/>
        <rFont val="Arial"/>
      </rPr>
      <t xml:space="preserve">
(MLR rebates based on 2011 experience)</t>
    </r>
  </si>
  <si>
    <r>
      <rPr>
        <b/>
        <sz val="10"/>
        <rFont val="Arial"/>
        <family val="2"/>
      </rPr>
      <t>Column "PY1":</t>
    </r>
    <r>
      <rPr>
        <sz val="10"/>
        <rFont val="Arial"/>
      </rPr>
      <t xml:space="preserve">
2011 MLR Form, Part 5 Line 5.4
</t>
    </r>
    <r>
      <rPr>
        <b/>
        <sz val="10"/>
        <rFont val="Arial"/>
        <family val="2"/>
      </rPr>
      <t xml:space="preserve">Column "Total": </t>
    </r>
    <r>
      <rPr>
        <sz val="10"/>
        <rFont val="Arial"/>
      </rPr>
      <t xml:space="preserve">
   ● if Column "CY" Part 4 Line 3.1 &lt; 75,000: 
      Part 4 Line 1.4 Column PY1
   ● if Column "CY" Part 4 Line 3.1 ≥ 75,000:
      0 (zero)</t>
    </r>
  </si>
  <si>
    <r>
      <rPr>
        <b/>
        <sz val="10"/>
        <rFont val="Arial"/>
        <family val="2"/>
      </rPr>
      <t>Part 4 Line 1.5</t>
    </r>
    <r>
      <rPr>
        <sz val="10"/>
        <rFont val="Arial"/>
      </rPr>
      <t xml:space="preserve">
(MLR numerator)</t>
    </r>
  </si>
  <si>
    <r>
      <rPr>
        <b/>
        <sz val="10"/>
        <rFont val="Arial"/>
        <family val="2"/>
      </rPr>
      <t>Individual, Small Group, and Large Group columns, except MA merged markets:</t>
    </r>
    <r>
      <rPr>
        <sz val="10"/>
        <rFont val="Arial"/>
      </rPr>
      <t xml:space="preserve">
Part 4 Column "Total" Lines 1.2 + 1.3 + 1.4
</t>
    </r>
    <r>
      <rPr>
        <b/>
        <sz val="10"/>
        <rFont val="Arial"/>
        <family val="2"/>
      </rPr>
      <t xml:space="preserve">Individual and Small Group columns only, if Business in the State of Massachusetts and "Merge Markets - Ind/SmGrp (MA Only)" is "Yes": </t>
    </r>
    <r>
      <rPr>
        <sz val="10"/>
        <rFont val="Arial"/>
      </rPr>
      <t xml:space="preserve">
(Part 4, Individual Column "Total", Lines 1.2 + 1.3 + 1.4) + 
(Part 4, Small Group Column "Total", Lines 1.2 + 1.3 + 1.4)</t>
    </r>
  </si>
  <si>
    <r>
      <rPr>
        <b/>
        <sz val="10"/>
        <rFont val="Arial"/>
        <family val="2"/>
      </rPr>
      <t>Part 4 Line 1.6</t>
    </r>
    <r>
      <rPr>
        <sz val="10"/>
        <rFont val="Arial"/>
      </rPr>
      <t xml:space="preserve">
(MLR numerator: "Mini-Med")</t>
    </r>
  </si>
  <si>
    <r>
      <rPr>
        <b/>
        <sz val="10"/>
        <rFont val="Arial"/>
        <family val="2"/>
      </rPr>
      <t>"Mini-Med" Individual, Small Group, and Large Group columns, except MA merged markets:</t>
    </r>
    <r>
      <rPr>
        <sz val="10"/>
        <rFont val="Arial"/>
      </rPr>
      <t xml:space="preserve">
1.75 x (Part 4 Column "Total" Lines 1.2 + 1.3 + 1.4)
</t>
    </r>
    <r>
      <rPr>
        <b/>
        <sz val="10"/>
        <rFont val="Arial"/>
        <family val="2"/>
      </rPr>
      <t xml:space="preserve">"Mini-Med" Individual and Small Group columns only, if Business in the State of Massachusetts and "Merge Markets - Ind/SmGrp (MA Only)" is "Yes": </t>
    </r>
    <r>
      <rPr>
        <sz val="10"/>
        <rFont val="Arial"/>
      </rPr>
      <t xml:space="preserve">
1.75 x (Part 4, "Mini-Med" Individual Column "Total", Lines 1.2 + 1.3 + 1.4) + 
1.75 x (Part 4, "Mini-Med" Small Group Column "Total", Lines 1.2 + 1.3 + 1.4)</t>
    </r>
  </si>
  <si>
    <r>
      <rPr>
        <b/>
        <sz val="10"/>
        <rFont val="Arial"/>
        <family val="2"/>
      </rPr>
      <t>Part 4 Line 2.1</t>
    </r>
    <r>
      <rPr>
        <sz val="10"/>
        <rFont val="Arial"/>
      </rPr>
      <t xml:space="preserve">
(Premium earned including Federal and State high risk programs)</t>
    </r>
  </si>
  <si>
    <r>
      <rPr>
        <b/>
        <sz val="10"/>
        <rFont val="Arial"/>
        <family val="2"/>
      </rPr>
      <t>Column "PY1":</t>
    </r>
    <r>
      <rPr>
        <sz val="10"/>
        <rFont val="Arial"/>
      </rPr>
      <t xml:space="preserve">
2011 MLR Form, Part 1 Line 1.4, Columns "3/31/YY" + "Deferred PY" – "Deferred CY"
</t>
    </r>
    <r>
      <rPr>
        <b/>
        <sz val="10"/>
        <rFont val="Arial"/>
        <family val="2"/>
      </rPr>
      <t>Column "CY":</t>
    </r>
    <r>
      <rPr>
        <sz val="10"/>
        <rFont val="Arial"/>
      </rPr>
      <t xml:space="preserve">
(Part 1 Line 1.1, Columns "3/31/13" + "Deferred PY1" – "Deferred CY") + 
(Part 1 Line 1.2, Columns "3/31/13" + "Deferred PY1" – "Deferred CY") + 
(Part 1 Line 1.3, Columns "3/31/13" + "Deferred PY1" – "Deferred CY")  
</t>
    </r>
    <r>
      <rPr>
        <b/>
        <sz val="10"/>
        <rFont val="Arial"/>
        <family val="2"/>
      </rPr>
      <t xml:space="preserve">Column "Total": </t>
    </r>
    <r>
      <rPr>
        <sz val="10"/>
        <rFont val="Arial"/>
      </rPr>
      <t xml:space="preserve">
   ● if Column "CY" Part 4 Line 3.1 &lt; 75,000: 
      Part 4 Line 2.1 Columns PY1 + CY
   ● if Column "CY" Part 4 Line 3.1 ≥ 75,000: 
      Part 4 Line 2.1 Column CY</t>
    </r>
  </si>
  <si>
    <r>
      <rPr>
        <b/>
        <sz val="10"/>
        <rFont val="Arial"/>
        <family val="2"/>
      </rPr>
      <t>Part 4 Line 2.2</t>
    </r>
    <r>
      <rPr>
        <sz val="10"/>
        <rFont val="Arial"/>
      </rPr>
      <t xml:space="preserve">
(Federal and State taxes and licensing or regulatory fees)</t>
    </r>
  </si>
  <si>
    <r>
      <rPr>
        <b/>
        <sz val="10"/>
        <rFont val="Arial"/>
        <family val="2"/>
      </rPr>
      <t>Column "PY1":</t>
    </r>
    <r>
      <rPr>
        <sz val="10"/>
        <rFont val="Arial"/>
      </rPr>
      <t xml:space="preserve">
2011 MLR Form, Part 1 Line 3.4, Columns "3/31/YY" + "Deferred PY" – "Deferred CY"
</t>
    </r>
    <r>
      <rPr>
        <b/>
        <sz val="10"/>
        <rFont val="Arial"/>
        <family val="2"/>
      </rPr>
      <t>Column "CY":</t>
    </r>
    <r>
      <rPr>
        <sz val="10"/>
        <rFont val="Arial"/>
      </rPr>
      <t xml:space="preserve">
(Part 1 Line 3.1a, Columns "3/31/13" + "Deferred PY1" – "Deferred CY") + 
(Part 1 Line 3.1b, Columns "3/31/13" + "Deferred PY1" – "Deferred CY") + 
(Part 1 Line 3.2a, Columns "3/31/13" + "Deferred PY1" – "Deferred CY") + 
[The greater of: (Part 1 Line 3.2b, Columns "3/31/13" + "Deferred PY1" – "Deferred CY") or 
                          (Part 1 Line 3.2c, Columns "3/31/13" + "Deferred PY1" – "Deferred CY")] + 
(Part 1 Line 3.3, Columns "3/31/13" + "Deferred PY1" – "Deferred CY")
</t>
    </r>
    <r>
      <rPr>
        <b/>
        <sz val="10"/>
        <rFont val="Arial"/>
        <family val="2"/>
      </rPr>
      <t xml:space="preserve">Column "Total": </t>
    </r>
    <r>
      <rPr>
        <sz val="10"/>
        <rFont val="Arial"/>
      </rPr>
      <t xml:space="preserve">
   ● if Column "CY" Part 4 Line 3.1 &lt; 75,000: 
      Part 4 Line 2.2 Columns PY1 + CY
   ● if Column "CY" Part 4 Line 3.1 ≥ 75,000: 
      Part 4 Line 2.2 Column CY</t>
    </r>
  </si>
  <si>
    <r>
      <rPr>
        <b/>
        <sz val="10"/>
        <rFont val="Arial"/>
        <family val="2"/>
      </rPr>
      <t>Part 4 Line 2.3</t>
    </r>
    <r>
      <rPr>
        <sz val="10"/>
        <rFont val="Arial"/>
      </rPr>
      <t xml:space="preserve">
(MLR denominator)</t>
    </r>
  </si>
  <si>
    <r>
      <rPr>
        <b/>
        <sz val="10"/>
        <rFont val="Arial"/>
        <family val="2"/>
      </rPr>
      <t>Individual, Small Group, and Large Group columns, except MA merged markets:</t>
    </r>
    <r>
      <rPr>
        <sz val="10"/>
        <rFont val="Arial"/>
      </rPr>
      <t xml:space="preserve">
Part 4 Column "Total" Lines 2.1 – 2.2
</t>
    </r>
    <r>
      <rPr>
        <b/>
        <sz val="10"/>
        <rFont val="Arial"/>
        <family val="2"/>
      </rPr>
      <t xml:space="preserve">Individual and Small Group columns only, if Business in the State of Massachusetts and "Merge Markets - Ind/SmGrp (MA Only)" is "Yes": </t>
    </r>
    <r>
      <rPr>
        <sz val="10"/>
        <rFont val="Arial"/>
      </rPr>
      <t xml:space="preserve">
(Part 4, Individual Column "Total", Lines 2.1 – 2.2) + 
(Part 4, Small Group Column "Total", Lines 2.1 – 2.2)</t>
    </r>
  </si>
  <si>
    <r>
      <rPr>
        <b/>
        <sz val="10"/>
        <rFont val="Arial"/>
        <family val="2"/>
      </rPr>
      <t>Part 4 Line 3.1</t>
    </r>
    <r>
      <rPr>
        <sz val="10"/>
        <rFont val="Arial"/>
      </rPr>
      <t xml:space="preserve">
(Life-years to determine credibility)</t>
    </r>
  </si>
  <si>
    <r>
      <rPr>
        <b/>
        <sz val="10"/>
        <rFont val="Arial"/>
        <family val="2"/>
      </rPr>
      <t>Column "PY1":</t>
    </r>
    <r>
      <rPr>
        <sz val="10"/>
        <rFont val="Arial"/>
      </rPr>
      <t xml:space="preserve">
2011 MLR Form, Part 1 Line 11.5, Columns "3/31/YY" + "Deferred PY" – "Deferred CY"
</t>
    </r>
    <r>
      <rPr>
        <b/>
        <sz val="10"/>
        <rFont val="Arial"/>
        <family val="2"/>
      </rPr>
      <t xml:space="preserve">
Column "CY":</t>
    </r>
    <r>
      <rPr>
        <sz val="10"/>
        <rFont val="Arial"/>
      </rPr>
      <t xml:space="preserve">
Part 1 Line 7.5, Columns "3/31/13" + "Deferred PY1" – "Deferred CY" 
</t>
    </r>
    <r>
      <rPr>
        <b/>
        <sz val="10"/>
        <rFont val="Arial"/>
        <family val="2"/>
      </rPr>
      <t xml:space="preserve">
Column "Total": </t>
    </r>
    <r>
      <rPr>
        <sz val="10"/>
        <rFont val="Arial"/>
      </rPr>
      <t xml:space="preserve">
   ● if Column "CY" Part 4 Line 3.1 &lt; 75,000: 
      Part 4 Line 3.1 Columns PY1 + CY
   ● if Column "CY" Part 4 Line 3.1 ≥ 75,000: 
      Part 4 Line 3.1 Column CY</t>
    </r>
  </si>
  <si>
    <r>
      <rPr>
        <b/>
        <sz val="10"/>
        <rFont val="Arial"/>
        <family val="2"/>
      </rPr>
      <t>Part 4 Line 3.2</t>
    </r>
    <r>
      <rPr>
        <sz val="10"/>
        <rFont val="Arial"/>
      </rPr>
      <t xml:space="preserve">
(Base credibility factor)</t>
    </r>
  </si>
  <si>
    <r>
      <rPr>
        <b/>
        <sz val="10"/>
        <rFont val="Arial"/>
        <family val="2"/>
      </rPr>
      <t xml:space="preserve">Column "Total": </t>
    </r>
    <r>
      <rPr>
        <sz val="10"/>
        <rFont val="Arial"/>
      </rPr>
      <t xml:space="preserve">
   ● if Column "Total" Part 4 Line 3.1 &lt; 1,000 or ≥ 75,000: 
      0 (zero)
   ● if 1,000 ≤ Column "Total" Part 4 Line 3.1 &lt; 75,000: 
      Calculate using linear interpolation and Table 1 (do not round).
Table 1:
Life-Years    Base credibility factor
   &lt;1,000          0.0%
     1,000          8.3%
     2,500          5.2%
     5,000          3.7%
   10,000          2.6%
   25,000          1.6%
   50,000          1.2%
 ≥75,000          0.0%
Linear Interpolation Formula (x = life-years, y = base credibility factor) where x2 = Part 4 Line 3.1 Column "Total": 
y2 = y1 + [(y3 – y1) / (x3 – x1)] * (x2 – x1)
Linear Interpolation Example:
The base credibility factor for 16,525 life-years can be calculated as follows:
2.6% + [(1.6% – 2.6%) / (25,000 – 10,000)] x (16,525 – 10,000) = 2.6% – 0.435% = 2.165%
(Note: do not round the base credibility factor when calculating the MLR.  Add the unrounded credibility factor multiplied by the unrounded deductible factor to the unrounded preliminary MLR from Part 4 Line 4.1, then round the resulting credibility-adjusted MLR to 3 decimal places (e.g. 80.1%) and enter on Part 4 Line 4.3.</t>
    </r>
  </si>
  <si>
    <r>
      <rPr>
        <b/>
        <sz val="10"/>
        <rFont val="Arial"/>
        <family val="2"/>
      </rPr>
      <t>Part 4 Line 3.4</t>
    </r>
    <r>
      <rPr>
        <sz val="10"/>
        <rFont val="Arial"/>
      </rPr>
      <t xml:space="preserve">
(Deductible factor)</t>
    </r>
  </si>
  <si>
    <r>
      <rPr>
        <b/>
        <sz val="10"/>
        <rFont val="Arial"/>
        <family val="2"/>
      </rPr>
      <t xml:space="preserve">Column "Total": </t>
    </r>
    <r>
      <rPr>
        <sz val="10"/>
        <rFont val="Arial"/>
      </rPr>
      <t xml:space="preserve">
   ● if Part 4 Line 3.3 &lt; 2,500: 
      1.000
   ● if Part 4 Line 3.3 ≥ 10,000: 
      1.736
   ● if 2,500 ≤ Part 4 Line 3.3 &lt; 10,000: 
      Calculate using linear interpolation and Table 2 (do not round).
Table 2:
Average Deductible    Deductible factor
    &lt;2,500                         1.000
      2,500                         1.164
      5,000                         1.402
  ≥10,000                         1.736
Linear Interpolation Formula (x = average health plan deductible, y = deductible factor) where x2 = Part 4 Line 3.3 Column "Total": 
y2 = y1 + [(y3 – y1) / (x3 – x1)] * (x2 – x1)
Linear interpolation example:
The deductible factor for a $3,500 average deductible can be calculated as follows:
1.164 + [(1.402 – 1.164) / (5,000 – 2,500)] x (3,500 – 2,500) = 1.164 + 0.0952 = 1.2592
(Note: do not round the credibility factor multiplied by the deductible factor when calculating the MLR.  Add the unrounded credibility factor multiplied by the unrounded deductible factor to the unrounded preliminary MLR from Part 4 Line 4.1, then round the result to 3 decimal places (e.g. 80.1%) and enter on Part 4 Line 4.3.</t>
    </r>
  </si>
  <si>
    <r>
      <rPr>
        <b/>
        <sz val="10"/>
        <rFont val="Arial"/>
        <family val="2"/>
      </rPr>
      <t>Part 4 Line 3.5</t>
    </r>
    <r>
      <rPr>
        <sz val="10"/>
        <rFont val="Arial"/>
      </rPr>
      <t xml:space="preserve">
(Credibility adjustment)</t>
    </r>
  </si>
  <si>
    <r>
      <rPr>
        <b/>
        <sz val="10"/>
        <rFont val="Arial"/>
        <family val="2"/>
      </rPr>
      <t xml:space="preserve">Column "Total": </t>
    </r>
    <r>
      <rPr>
        <sz val="10"/>
        <rFont val="Arial"/>
      </rPr>
      <t xml:space="preserve">
   ● if Column "Total" Part 4 Line 3.1 &lt; 1,000 or ≥ 75,000: 
      0 (zero)
   ● if 1,000 ≤ Column "Total" Part 4 Line 3.1 &lt; 75,000: 
      Part 4 Lines 3.2 x 3.4 (do not round)</t>
    </r>
  </si>
  <si>
    <r>
      <rPr>
        <b/>
        <sz val="10"/>
        <rFont val="Arial"/>
        <family val="2"/>
      </rPr>
      <t>Part 4 Line 4.1a</t>
    </r>
    <r>
      <rPr>
        <sz val="10"/>
        <rFont val="Arial"/>
      </rPr>
      <t xml:space="preserve">
(Preliminary MLR)</t>
    </r>
  </si>
  <si>
    <r>
      <rPr>
        <b/>
        <sz val="10"/>
        <rFont val="Arial"/>
        <family val="2"/>
      </rPr>
      <t xml:space="preserve">Column "Total": </t>
    </r>
    <r>
      <rPr>
        <sz val="10"/>
        <rFont val="Arial"/>
      </rPr>
      <t xml:space="preserve">
   ● if Column "Total" Part 4 Line 3.1 &lt; 1,000: 
      blank
   ● if Column "Total" Part 4 Line 3.1 ≥ 1,000: 
      Part 4 Lines 1.5 / 2.3 (do not round)</t>
    </r>
  </si>
  <si>
    <r>
      <rPr>
        <b/>
        <sz val="10"/>
        <rFont val="Arial"/>
        <family val="2"/>
      </rPr>
      <t>Part 4 Line 4.1b</t>
    </r>
    <r>
      <rPr>
        <sz val="10"/>
        <rFont val="Arial"/>
      </rPr>
      <t xml:space="preserve">
(Preliminary MLR: "Mini-Med")</t>
    </r>
  </si>
  <si>
    <r>
      <rPr>
        <b/>
        <sz val="10"/>
        <rFont val="Arial"/>
        <family val="2"/>
      </rPr>
      <t xml:space="preserve">Column "Total": </t>
    </r>
    <r>
      <rPr>
        <sz val="10"/>
        <rFont val="Arial"/>
      </rPr>
      <t xml:space="preserve">
   ● if Column "Total" Part 4 Line 3.1 &lt; 1,000: 
      blank
   ● if Column "Total" Part 4 Line 3.1 ≥ 1,000: 
      Part 4 Lines 1.6 / 2.3 (do not round)</t>
    </r>
  </si>
  <si>
    <r>
      <rPr>
        <b/>
        <sz val="10"/>
        <rFont val="Arial"/>
        <family val="2"/>
      </rPr>
      <t>Part 4 Line 4.2</t>
    </r>
    <r>
      <rPr>
        <sz val="10"/>
        <rFont val="Arial"/>
      </rPr>
      <t xml:space="preserve">
(Credibility adjustment)</t>
    </r>
  </si>
  <si>
    <t>Part 4, Line 3.5</t>
  </si>
  <si>
    <r>
      <rPr>
        <b/>
        <sz val="10"/>
        <rFont val="Arial"/>
        <family val="2"/>
      </rPr>
      <t>Part 4 Line 4.3</t>
    </r>
    <r>
      <rPr>
        <sz val="10"/>
        <rFont val="Arial"/>
      </rPr>
      <t xml:space="preserve">
(Credibility-adjusted MLR)</t>
    </r>
  </si>
  <si>
    <r>
      <rPr>
        <b/>
        <sz val="10"/>
        <rFont val="Arial"/>
        <family val="2"/>
      </rPr>
      <t>Column "Total":</t>
    </r>
    <r>
      <rPr>
        <sz val="10"/>
        <rFont val="Arial"/>
      </rPr>
      <t xml:space="preserve"> 
   ● if Column "Total" Part 4 Line 3.1 &lt; 1,000: 
      blank
   ● if Column "Total" Part 4 Line 3.1 ≥ 1,000: 
      Health Insurance Coverage columns:  Part 4 Lines 4.1a + 4.2
      "Mini-Med" columns:  Part 4 Lines 4.1b + 4.2
      (round to three decimal places, e.g. 0.801 or 80.1%)</t>
    </r>
  </si>
  <si>
    <r>
      <rPr>
        <b/>
        <sz val="10"/>
        <rFont val="Arial"/>
        <family val="2"/>
      </rPr>
      <t>Part 4 Line 5.1</t>
    </r>
    <r>
      <rPr>
        <sz val="10"/>
        <rFont val="Arial"/>
      </rPr>
      <t xml:space="preserve">
(MLR standard)</t>
    </r>
  </si>
  <si>
    <t>For most companies:
Individual market:                      Small Group market:                    Large Group market:
   NY: 82%                                    NY: 82%                                        All states: 85%
   ME: 65%                                   MA: 88%
   GA, IA, NH: 75%                        All other states: 80%
   All other states: 80%</t>
  </si>
  <si>
    <r>
      <rPr>
        <b/>
        <sz val="10"/>
        <rFont val="Arial"/>
        <family val="2"/>
      </rPr>
      <t>Part 4 Line 5.2</t>
    </r>
    <r>
      <rPr>
        <sz val="10"/>
        <rFont val="Arial"/>
      </rPr>
      <t xml:space="preserve">
(Credibility-adjusted MLR)</t>
    </r>
  </si>
  <si>
    <t>Part 4, Line 4.3</t>
  </si>
  <si>
    <r>
      <rPr>
        <b/>
        <sz val="10"/>
        <rFont val="Arial"/>
        <family val="2"/>
      </rPr>
      <t>Part 4 Line 5.3</t>
    </r>
    <r>
      <rPr>
        <sz val="10"/>
        <rFont val="Arial"/>
      </rPr>
      <t xml:space="preserve">
(Adjusted earned premium less Federal and State taxes and licensing or regulatory fees)</t>
    </r>
  </si>
  <si>
    <r>
      <rPr>
        <b/>
        <sz val="10"/>
        <rFont val="Arial"/>
        <family val="2"/>
      </rPr>
      <t xml:space="preserve">Column "Total": </t>
    </r>
    <r>
      <rPr>
        <sz val="10"/>
        <rFont val="Arial"/>
      </rPr>
      <t xml:space="preserve">
   ● if Column "Total" Part 4 Line 3.1 &lt; 1,000: 
      blank
   ● if Column "Total" Part 4 Line 3.1 ≥ 1,000: 
      Part 4 Column "CY" Lines 2.1 – 2.2</t>
    </r>
  </si>
  <si>
    <r>
      <rPr>
        <b/>
        <sz val="10"/>
        <rFont val="Arial"/>
        <family val="2"/>
      </rPr>
      <t>Part 4 Line 5.4</t>
    </r>
    <r>
      <rPr>
        <sz val="10"/>
        <rFont val="Arial"/>
      </rPr>
      <t xml:space="preserve">
(Rebate amount)</t>
    </r>
  </si>
  <si>
    <r>
      <rPr>
        <b/>
        <sz val="10"/>
        <rFont val="Arial"/>
        <family val="2"/>
      </rPr>
      <t xml:space="preserve">Column "Total": </t>
    </r>
    <r>
      <rPr>
        <sz val="10"/>
        <rFont val="Arial"/>
        <family val="2"/>
      </rPr>
      <t xml:space="preserve">
   ● if Column "Total" Part 4 Line 3.1 &lt; 1,000: 
      0 (zero)
   ● if Column "Total" Part 4 Line 3.1 ≥ 1,000 and Part 4 Line 5.2 ≥ Line 5.1: 
      0 (zero)
   ● if Column "Total" Part 4 Line 3.1 ≥ 1,000 and Part 4 Line 5.2 &lt; Line 5.1: 
      Part 4 (Lines 5.1 – 5.2) x Line 5.3</t>
    </r>
  </si>
  <si>
    <t xml:space="preserve">Companies may do the MLR and rebate calculations themselves, following the 2012 MLR Annual Reporting Form Filing Instructions.  For the user's convenience, all 2012 MLR and rebate formulas are summarized on the Formula Reference tab of this file.
</t>
  </si>
  <si>
    <r>
      <rPr>
        <b/>
        <sz val="10"/>
        <rFont val="Arial"/>
        <family val="2"/>
      </rPr>
      <t xml:space="preserve">    </t>
    </r>
    <r>
      <rPr>
        <b/>
        <u/>
        <sz val="10"/>
        <rFont val="Arial"/>
        <family val="2"/>
      </rPr>
      <t>INSTRUCTIONS FOR USING THE FORMULA REFERENCE AND FORMULA CALCULATOR WITH THE 2012 MLR ANNUAL REPORTING FORM</t>
    </r>
  </si>
  <si>
    <t xml:space="preserve">The 2012 MLR Annual Reporting Form does not automatically perform the MLR and rebate calculations. When a completed form is submitted, CMS' Health Insurance Oversight System (HIOS) will alert companies if their submitted values do not match HIOS calculated values.
</t>
  </si>
  <si>
    <t>Companies may also use the Formula Calculator included in the tabs of this file that are marked Part 1 - Summary of Data, Part 2 - Premium and Claims, and Part 4  - MLR and Rebate Calculation, to perform and/or verify their MLR and rebate calculations for the 2012 MLR reporting year.  To use the Formula Calculator, please follow Steps 1-5 below.  For your convenience if you choose this option, this Formula Calculator can also copy all data entered in this file into the HIOS template file you specify.  You may need to enable macros to use the optional Formula Calculator copy functionality; please contact your IT department for assistance.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</si>
</sst>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0.0%"/>
    <numFmt numFmtId="166" formatCode="_(* #,##0_);_(* \(#,##0\);_(* &quot;-&quot;??_);_(@_)"/>
    <numFmt numFmtId="167" formatCode="_(* #,##0.0_);_(* \(#,##0.0\);_(* &quot;-&quot;??_);_(@_)"/>
    <numFmt numFmtId="168" formatCode="0.000"/>
    <numFmt numFmtId="169" formatCode="_(* #,##0.000_);_(* \(#,##0.000\);_(* &quot;-&quot;??_);_(@_)"/>
  </numFmts>
  <fonts count="41">
    <font>
      <sz val="10"/>
      <name val="Arial"/>
    </font>
    <font>
      <sz val="11"/>
      <color theme="1"/>
      <name val="Calibri"/>
      <family val="2"/>
      <scheme val="minor"/>
    </font>
    <font>
      <sz val="11"/>
      <color theme="1"/>
      <name val="Calibri"/>
      <family val="2"/>
      <scheme val="minor"/>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sz val="10"/>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name val="Arial"/>
      <family val="2"/>
    </font>
    <font>
      <b/>
      <sz val="10"/>
      <name val="Arial"/>
      <family val="2"/>
    </font>
    <font>
      <sz val="8"/>
      <name val="Arial"/>
      <family val="2"/>
    </font>
    <font>
      <sz val="11"/>
      <color theme="1"/>
      <name val="Calibri"/>
      <family val="2"/>
      <scheme val="minor"/>
    </font>
    <font>
      <sz val="10"/>
      <color theme="1"/>
      <name val="Arial"/>
      <family val="2"/>
    </font>
    <font>
      <b/>
      <sz val="10"/>
      <color theme="1"/>
      <name val="Arial"/>
      <family val="2"/>
    </font>
    <font>
      <sz val="11"/>
      <name val="Calibri"/>
      <family val="2"/>
    </font>
    <font>
      <i/>
      <sz val="10"/>
      <name val="Arial"/>
      <family val="2"/>
    </font>
    <font>
      <sz val="10"/>
      <color rgb="FFFF0000"/>
      <name val="Arial"/>
      <family val="2"/>
    </font>
    <font>
      <b/>
      <sz val="10"/>
      <color rgb="FFFF0000"/>
      <name val="Arial"/>
      <family val="2"/>
    </font>
    <font>
      <b/>
      <sz val="11"/>
      <name val="Arial"/>
      <family val="2"/>
    </font>
    <font>
      <sz val="10"/>
      <color rgb="FFFFFF00"/>
      <name val="Arial"/>
      <family val="2"/>
    </font>
    <font>
      <sz val="10"/>
      <color theme="0"/>
      <name val="Arial"/>
      <family val="2"/>
    </font>
    <font>
      <b/>
      <u/>
      <sz val="10"/>
      <name val="Arial"/>
      <family val="2"/>
    </font>
    <font>
      <u/>
      <sz val="10"/>
      <name val="Arial"/>
      <family val="2"/>
    </font>
    <font>
      <sz val="10"/>
      <color rgb="FF0000FF"/>
      <name val="Arial"/>
      <family val="2"/>
    </font>
    <font>
      <b/>
      <sz val="12"/>
      <name val="Arial"/>
      <family val="2"/>
    </font>
    <font>
      <b/>
      <sz val="12"/>
      <color theme="1"/>
      <name val="Arial"/>
      <family val="2"/>
    </font>
    <font>
      <sz val="10"/>
      <name val="Calibri"/>
      <family val="2"/>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66"/>
        <bgColor indexed="64"/>
      </patternFill>
    </fill>
    <fill>
      <patternFill patternType="solid">
        <fgColor theme="6" tint="0.59999389629810485"/>
        <bgColor indexed="64"/>
      </patternFill>
    </fill>
    <fill>
      <patternFill patternType="solid">
        <fgColor theme="8" tint="0.39997558519241921"/>
        <bgColor indexed="64"/>
      </patternFill>
    </fill>
  </fills>
  <borders count="1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medium">
        <color indexed="64"/>
      </left>
      <right style="hair">
        <color indexed="64"/>
      </right>
      <top/>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hair">
        <color indexed="64"/>
      </left>
      <right style="hair">
        <color indexed="64"/>
      </right>
      <top style="medium">
        <color indexed="64"/>
      </top>
      <bottom/>
      <diagonal/>
    </border>
    <border>
      <left/>
      <right style="medium">
        <color indexed="64"/>
      </right>
      <top style="medium">
        <color indexed="64"/>
      </top>
      <bottom/>
      <diagonal/>
    </border>
    <border>
      <left/>
      <right style="hair">
        <color indexed="64"/>
      </right>
      <top/>
      <bottom/>
      <diagonal/>
    </border>
    <border>
      <left/>
      <right style="hair">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hair">
        <color indexed="64"/>
      </right>
      <top style="thin">
        <color indexed="64"/>
      </top>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right/>
      <top/>
      <bottom style="medium">
        <color indexed="64"/>
      </bottom>
      <diagonal/>
    </border>
    <border>
      <left style="hair">
        <color indexed="64"/>
      </left>
      <right/>
      <top/>
      <bottom/>
      <diagonal/>
    </border>
    <border>
      <left/>
      <right/>
      <top/>
      <bottom style="thin">
        <color indexed="64"/>
      </bottom>
      <diagonal/>
    </border>
    <border>
      <left/>
      <right style="hair">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bottom style="thin">
        <color indexed="64"/>
      </bottom>
      <diagonal/>
    </border>
    <border>
      <left/>
      <right style="hair">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style="medium">
        <color indexed="64"/>
      </top>
      <bottom style="thin">
        <color indexed="64"/>
      </bottom>
      <diagonal/>
    </border>
    <border>
      <left style="hair">
        <color indexed="64"/>
      </left>
      <right/>
      <top style="thin">
        <color indexed="64"/>
      </top>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style="hair">
        <color indexed="64"/>
      </left>
      <right/>
      <top/>
      <bottom style="thin">
        <color indexed="64"/>
      </bottom>
      <diagonal/>
    </border>
    <border>
      <left style="hair">
        <color indexed="64"/>
      </left>
      <right/>
      <top/>
      <bottom style="medium">
        <color indexed="64"/>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diagonal/>
    </border>
    <border>
      <left style="hair">
        <color indexed="64"/>
      </left>
      <right style="medium">
        <color indexed="64"/>
      </right>
      <top/>
      <bottom style="thin">
        <color indexed="64"/>
      </bottom>
      <diagonal/>
    </border>
    <border>
      <left style="hair">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hair">
        <color indexed="64"/>
      </right>
      <top style="medium">
        <color indexed="64"/>
      </top>
      <bottom style="thin">
        <color indexed="64"/>
      </bottom>
      <diagonal/>
    </border>
    <border>
      <left/>
      <right style="hair">
        <color indexed="64"/>
      </right>
      <top style="medium">
        <color indexed="64"/>
      </top>
      <bottom style="thin">
        <color indexed="64"/>
      </bottom>
      <diagonal/>
    </border>
    <border>
      <left style="hair">
        <color indexed="64"/>
      </left>
      <right style="medium">
        <color indexed="64"/>
      </right>
      <top style="thin">
        <color indexed="64"/>
      </top>
      <bottom/>
      <diagonal/>
    </border>
    <border>
      <left style="hair">
        <color indexed="64"/>
      </left>
      <right style="hair">
        <color indexed="64"/>
      </right>
      <top style="medium">
        <color indexed="64"/>
      </top>
      <bottom style="thin">
        <color indexed="64"/>
      </bottom>
      <diagonal/>
    </border>
    <border>
      <left style="hair">
        <color indexed="64"/>
      </left>
      <right/>
      <top style="medium">
        <color indexed="64"/>
      </top>
      <bottom style="thin">
        <color indexed="64"/>
      </bottom>
      <diagonal/>
    </border>
    <border>
      <left style="thin">
        <color indexed="64"/>
      </left>
      <right style="hair">
        <color indexed="64"/>
      </right>
      <top style="medium">
        <color indexed="64"/>
      </top>
      <bottom/>
      <diagonal/>
    </border>
    <border>
      <left style="hair">
        <color indexed="64"/>
      </left>
      <right/>
      <top style="medium">
        <color indexed="64"/>
      </top>
      <bottom/>
      <diagonal/>
    </border>
    <border>
      <left style="medium">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255">
    <xf numFmtId="0" fontId="0" fillId="0" borderId="0"/>
    <xf numFmtId="0" fontId="4" fillId="2" borderId="0" applyNumberFormat="0" applyBorder="0" applyAlignment="0" applyProtection="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7" fillId="20" borderId="1" applyNumberFormat="0" applyAlignment="0" applyProtection="0"/>
    <xf numFmtId="0" fontId="8" fillId="21" borderId="2" applyNumberFormat="0" applyAlignment="0" applyProtection="0"/>
    <xf numFmtId="0" fontId="8" fillId="21" borderId="2" applyNumberFormat="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1" fillId="4" borderId="0" applyNumberFormat="0" applyBorder="0" applyAlignment="0" applyProtection="0"/>
    <xf numFmtId="0" fontId="12" fillId="0" borderId="3"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5" fillId="7" borderId="1" applyNumberFormat="0" applyAlignment="0" applyProtection="0"/>
    <xf numFmtId="0" fontId="16" fillId="0" borderId="6" applyNumberFormat="0" applyFill="0" applyAlignment="0" applyProtection="0"/>
    <xf numFmtId="0" fontId="16" fillId="0" borderId="6" applyNumberFormat="0" applyFill="0" applyAlignment="0" applyProtection="0"/>
    <xf numFmtId="0" fontId="17" fillId="22" borderId="0" applyNumberFormat="0" applyBorder="0" applyAlignment="0" applyProtection="0"/>
    <xf numFmtId="0" fontId="17" fillId="22" borderId="0" applyNumberFormat="0" applyBorder="0" applyAlignment="0" applyProtection="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3"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0" fontId="18" fillId="20" borderId="8" applyNumberFormat="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26" fillId="0" borderId="0"/>
  </cellStyleXfs>
  <cellXfs count="597">
    <xf numFmtId="0" fontId="0" fillId="0" borderId="0" xfId="0"/>
    <xf numFmtId="0" fontId="23" fillId="0" borderId="0" xfId="0" applyFont="1"/>
    <xf numFmtId="0" fontId="3" fillId="0" borderId="0" xfId="0" applyFont="1" applyBorder="1"/>
    <xf numFmtId="0" fontId="23" fillId="0" borderId="0" xfId="125" applyFont="1" applyAlignment="1"/>
    <xf numFmtId="0" fontId="3" fillId="0" borderId="0" xfId="0" applyFont="1" applyFill="1" applyBorder="1"/>
    <xf numFmtId="0" fontId="3" fillId="0" borderId="0" xfId="0" applyFont="1"/>
    <xf numFmtId="0" fontId="3" fillId="0" borderId="0" xfId="125" applyFont="1" applyAlignment="1"/>
    <xf numFmtId="164" fontId="3" fillId="0" borderId="0" xfId="91" applyNumberFormat="1" applyFont="1" applyBorder="1" applyAlignment="1"/>
    <xf numFmtId="0" fontId="3" fillId="0" borderId="0" xfId="0" applyFont="1" applyFill="1"/>
    <xf numFmtId="0" fontId="3" fillId="0" borderId="0" xfId="125" applyFont="1" applyBorder="1" applyAlignment="1"/>
    <xf numFmtId="164" fontId="3" fillId="0" borderId="0" xfId="81" applyNumberFormat="1" applyFont="1" applyBorder="1"/>
    <xf numFmtId="0" fontId="3" fillId="0" borderId="0" xfId="0" applyFont="1" applyAlignment="1">
      <alignment horizontal="right"/>
    </xf>
    <xf numFmtId="0" fontId="3" fillId="0" borderId="0" xfId="125" applyFont="1" applyBorder="1" applyAlignment="1">
      <alignment horizontal="left"/>
    </xf>
    <xf numFmtId="0" fontId="3" fillId="0" borderId="0" xfId="125" applyFont="1" applyAlignment="1">
      <alignment horizontal="right"/>
    </xf>
    <xf numFmtId="49" fontId="3" fillId="0" borderId="12" xfId="0" applyNumberFormat="1" applyFont="1" applyBorder="1" applyAlignment="1">
      <alignment horizontal="right" vertical="top"/>
    </xf>
    <xf numFmtId="49" fontId="3" fillId="0" borderId="13" xfId="0" applyNumberFormat="1" applyFont="1" applyBorder="1" applyAlignment="1">
      <alignment horizontal="right" vertical="top"/>
    </xf>
    <xf numFmtId="0" fontId="3" fillId="0" borderId="11" xfId="0" applyFont="1" applyFill="1" applyBorder="1" applyAlignment="1">
      <alignment vertical="top"/>
    </xf>
    <xf numFmtId="0" fontId="3" fillId="0" borderId="14" xfId="0" applyFont="1" applyFill="1" applyBorder="1" applyAlignment="1">
      <alignment horizontal="left" vertical="top" wrapText="1" indent="1"/>
    </xf>
    <xf numFmtId="0" fontId="3" fillId="0" borderId="14" xfId="0" applyFont="1" applyFill="1" applyBorder="1" applyAlignment="1">
      <alignment horizontal="left" vertical="top" indent="1"/>
    </xf>
    <xf numFmtId="0" fontId="3" fillId="0" borderId="11" xfId="0" applyFont="1" applyBorder="1" applyAlignment="1">
      <alignment horizontal="left" vertical="top" indent="1"/>
    </xf>
    <xf numFmtId="0" fontId="3" fillId="0" borderId="14" xfId="0" applyFont="1" applyBorder="1" applyAlignment="1">
      <alignment horizontal="left" vertical="top" indent="1"/>
    </xf>
    <xf numFmtId="0" fontId="3" fillId="0" borderId="16" xfId="0" applyFont="1" applyBorder="1" applyAlignment="1">
      <alignment horizontal="left" vertical="top" indent="1"/>
    </xf>
    <xf numFmtId="0" fontId="3" fillId="0" borderId="17" xfId="0" applyFont="1" applyBorder="1" applyAlignment="1">
      <alignment horizontal="left" vertical="top" indent="1"/>
    </xf>
    <xf numFmtId="0" fontId="3" fillId="0" borderId="11" xfId="0" applyFont="1" applyBorder="1" applyAlignment="1">
      <alignment vertical="top"/>
    </xf>
    <xf numFmtId="0" fontId="3" fillId="0" borderId="11" xfId="0" applyNumberFormat="1" applyFont="1" applyFill="1" applyBorder="1" applyAlignment="1">
      <alignment vertical="top"/>
    </xf>
    <xf numFmtId="0" fontId="3" fillId="0" borderId="16" xfId="0" applyFont="1" applyFill="1" applyBorder="1" applyAlignment="1">
      <alignment horizontal="left" vertical="top" indent="1"/>
    </xf>
    <xf numFmtId="0" fontId="3" fillId="0" borderId="11" xfId="0" applyFont="1" applyFill="1" applyBorder="1" applyAlignment="1">
      <alignment vertical="top" wrapText="1"/>
    </xf>
    <xf numFmtId="0" fontId="3" fillId="0" borderId="0" xfId="125" applyFont="1" applyFill="1" applyAlignment="1"/>
    <xf numFmtId="167" fontId="3" fillId="0" borderId="0" xfId="125" applyNumberFormat="1" applyFont="1" applyAlignment="1"/>
    <xf numFmtId="0" fontId="3" fillId="0" borderId="35" xfId="125" applyFont="1" applyBorder="1" applyAlignment="1"/>
    <xf numFmtId="49" fontId="3" fillId="0" borderId="12" xfId="125" applyNumberFormat="1" applyFont="1" applyBorder="1" applyAlignment="1">
      <alignment horizontal="right"/>
    </xf>
    <xf numFmtId="49" fontId="3" fillId="0" borderId="13" xfId="125" applyNumberFormat="1" applyFont="1" applyBorder="1" applyAlignment="1">
      <alignment horizontal="right"/>
    </xf>
    <xf numFmtId="49" fontId="3" fillId="0" borderId="16" xfId="125" applyNumberFormat="1" applyFont="1" applyBorder="1" applyAlignment="1">
      <alignment horizontal="left" vertical="top" indent="1"/>
    </xf>
    <xf numFmtId="0" fontId="3" fillId="0" borderId="0" xfId="125" applyFont="1" applyFill="1" applyBorder="1" applyAlignment="1">
      <alignment horizontal="left" vertical="top" indent="1"/>
    </xf>
    <xf numFmtId="0" fontId="3" fillId="0" borderId="0" xfId="125" applyFont="1" applyFill="1" applyBorder="1" applyAlignment="1">
      <alignment horizontal="left" vertical="top" wrapText="1" indent="1"/>
    </xf>
    <xf numFmtId="0" fontId="3" fillId="0" borderId="0" xfId="125" applyFont="1" applyBorder="1" applyAlignment="1">
      <alignment horizontal="left" vertical="top" wrapText="1" indent="1"/>
    </xf>
    <xf numFmtId="49" fontId="3" fillId="0" borderId="13" xfId="125" applyNumberFormat="1" applyFont="1" applyFill="1" applyBorder="1" applyAlignment="1">
      <alignment horizontal="right"/>
    </xf>
    <xf numFmtId="0" fontId="23" fillId="0" borderId="0" xfId="125" applyFont="1" applyFill="1" applyBorder="1" applyAlignment="1">
      <alignment horizontal="left" vertical="top" indent="1"/>
    </xf>
    <xf numFmtId="0" fontId="3" fillId="0" borderId="11" xfId="0" applyNumberFormat="1" applyFont="1" applyFill="1" applyBorder="1" applyAlignment="1">
      <alignment horizontal="left" vertical="top" indent="1"/>
    </xf>
    <xf numFmtId="49" fontId="3" fillId="0" borderId="13" xfId="0" applyNumberFormat="1" applyFont="1" applyFill="1" applyBorder="1" applyAlignment="1">
      <alignment horizontal="right" vertical="top"/>
    </xf>
    <xf numFmtId="0" fontId="3" fillId="0" borderId="11" xfId="0" quotePrefix="1" applyFont="1" applyFill="1" applyBorder="1" applyAlignment="1">
      <alignment horizontal="right" vertical="top"/>
    </xf>
    <xf numFmtId="0" fontId="3" fillId="0" borderId="11" xfId="0" quotePrefix="1" applyNumberFormat="1" applyFont="1" applyFill="1" applyBorder="1" applyAlignment="1">
      <alignment vertical="top"/>
    </xf>
    <xf numFmtId="0" fontId="23" fillId="0" borderId="0" xfId="0" applyFont="1" applyFill="1"/>
    <xf numFmtId="0" fontId="3" fillId="0" borderId="0" xfId="125" applyFont="1" applyFill="1" applyBorder="1" applyAlignment="1"/>
    <xf numFmtId="0" fontId="23" fillId="0" borderId="0" xfId="125" applyFont="1" applyFill="1" applyBorder="1" applyAlignment="1">
      <alignment horizontal="center" vertical="center"/>
    </xf>
    <xf numFmtId="0" fontId="3" fillId="0" borderId="0" xfId="0" applyFont="1" applyFill="1" applyAlignment="1">
      <alignment horizontal="center"/>
    </xf>
    <xf numFmtId="0" fontId="3" fillId="0" borderId="16" xfId="125" applyFont="1" applyFill="1" applyBorder="1" applyAlignment="1">
      <alignment horizontal="left" vertical="top" indent="1"/>
    </xf>
    <xf numFmtId="0" fontId="23" fillId="0" borderId="0" xfId="0" applyFont="1" applyProtection="1"/>
    <xf numFmtId="0" fontId="3" fillId="0" borderId="0" xfId="0" applyFont="1" applyProtection="1"/>
    <xf numFmtId="0" fontId="3" fillId="0" borderId="0" xfId="125" applyFont="1" applyAlignment="1" applyProtection="1"/>
    <xf numFmtId="0" fontId="3" fillId="0" borderId="0" xfId="125" applyFont="1" applyBorder="1" applyAlignment="1" applyProtection="1">
      <alignment horizontal="left"/>
    </xf>
    <xf numFmtId="0" fontId="3" fillId="0" borderId="0" xfId="125" applyFont="1" applyBorder="1" applyAlignment="1" applyProtection="1"/>
    <xf numFmtId="0" fontId="3" fillId="0" borderId="0" xfId="0" applyFont="1" applyAlignment="1" applyProtection="1"/>
    <xf numFmtId="0" fontId="3" fillId="0" borderId="0" xfId="125" applyFont="1" applyFill="1" applyAlignment="1" applyProtection="1"/>
    <xf numFmtId="164" fontId="3" fillId="0" borderId="27" xfId="81" applyNumberFormat="1" applyFont="1" applyFill="1" applyBorder="1" applyAlignment="1" applyProtection="1">
      <alignment vertical="top"/>
      <protection locked="0"/>
    </xf>
    <xf numFmtId="164" fontId="3" fillId="0" borderId="23" xfId="81" applyNumberFormat="1" applyFont="1" applyFill="1" applyBorder="1" applyAlignment="1" applyProtection="1">
      <alignment vertical="top"/>
      <protection locked="0"/>
    </xf>
    <xf numFmtId="164" fontId="3" fillId="0" borderId="14" xfId="81" applyNumberFormat="1" applyFont="1" applyBorder="1" applyAlignment="1" applyProtection="1">
      <alignment vertical="top"/>
      <protection locked="0"/>
    </xf>
    <xf numFmtId="164" fontId="3" fillId="0" borderId="13" xfId="81" applyNumberFormat="1" applyFont="1" applyBorder="1" applyAlignment="1" applyProtection="1">
      <alignment vertical="top"/>
      <protection locked="0"/>
    </xf>
    <xf numFmtId="164" fontId="3" fillId="0" borderId="14" xfId="81" applyNumberFormat="1" applyFont="1" applyFill="1" applyBorder="1" applyAlignment="1" applyProtection="1">
      <alignment vertical="top"/>
      <protection locked="0"/>
    </xf>
    <xf numFmtId="164" fontId="3" fillId="0" borderId="13" xfId="81" applyNumberFormat="1" applyFont="1" applyFill="1" applyBorder="1" applyAlignment="1" applyProtection="1">
      <alignment vertical="top"/>
      <protection locked="0"/>
    </xf>
    <xf numFmtId="164" fontId="3" fillId="0" borderId="0" xfId="81" applyNumberFormat="1" applyFont="1" applyFill="1" applyBorder="1" applyAlignment="1" applyProtection="1">
      <alignment vertical="top"/>
      <protection locked="0"/>
    </xf>
    <xf numFmtId="166" fontId="3" fillId="0" borderId="27" xfId="62" applyNumberFormat="1" applyFont="1" applyFill="1" applyBorder="1" applyAlignment="1" applyProtection="1">
      <alignment vertical="top"/>
      <protection locked="0"/>
    </xf>
    <xf numFmtId="166" fontId="3" fillId="0" borderId="13" xfId="62" applyNumberFormat="1" applyFont="1" applyBorder="1" applyAlignment="1" applyProtection="1">
      <alignment vertical="top"/>
      <protection locked="0"/>
    </xf>
    <xf numFmtId="164" fontId="3" fillId="0" borderId="29" xfId="81" applyNumberFormat="1" applyFont="1" applyBorder="1" applyAlignment="1" applyProtection="1">
      <alignment vertical="top"/>
      <protection locked="0"/>
    </xf>
    <xf numFmtId="0" fontId="3" fillId="0" borderId="0" xfId="125" applyFont="1" applyAlignment="1" applyProtection="1">
      <alignment horizontal="right"/>
    </xf>
    <xf numFmtId="0" fontId="3" fillId="0" borderId="0" xfId="0" applyFont="1" applyAlignment="1" applyProtection="1">
      <alignment horizontal="right"/>
    </xf>
    <xf numFmtId="0" fontId="3" fillId="0" borderId="0" xfId="0" applyFont="1" applyFill="1" applyAlignment="1" applyProtection="1">
      <alignment horizontal="right"/>
    </xf>
    <xf numFmtId="0" fontId="3" fillId="0" borderId="0" xfId="0" applyFont="1" applyFill="1" applyAlignment="1" applyProtection="1"/>
    <xf numFmtId="164" fontId="3" fillId="0" borderId="27" xfId="81" applyNumberFormat="1" applyFont="1" applyFill="1" applyBorder="1" applyAlignment="1" applyProtection="1">
      <alignment horizontal="center" vertical="top"/>
      <protection locked="0"/>
    </xf>
    <xf numFmtId="164" fontId="3" fillId="0" borderId="38" xfId="81" applyNumberFormat="1" applyFont="1" applyFill="1" applyBorder="1" applyAlignment="1" applyProtection="1">
      <alignment horizontal="center" vertical="top"/>
      <protection locked="0"/>
    </xf>
    <xf numFmtId="164" fontId="3" fillId="0" borderId="23" xfId="81" applyNumberFormat="1" applyFont="1" applyFill="1" applyBorder="1" applyAlignment="1" applyProtection="1">
      <alignment horizontal="center" vertical="top"/>
      <protection locked="0"/>
    </xf>
    <xf numFmtId="164" fontId="3" fillId="0" borderId="0" xfId="81" applyNumberFormat="1" applyFont="1" applyFill="1" applyBorder="1" applyAlignment="1" applyProtection="1">
      <alignment horizontal="center" vertical="top"/>
      <protection locked="0"/>
    </xf>
    <xf numFmtId="164" fontId="3" fillId="0" borderId="13" xfId="81" applyNumberFormat="1" applyFont="1" applyFill="1" applyBorder="1" applyAlignment="1" applyProtection="1">
      <alignment horizontal="center" vertical="top"/>
      <protection locked="0"/>
    </xf>
    <xf numFmtId="164" fontId="3" fillId="0" borderId="26" xfId="81" applyNumberFormat="1" applyFont="1" applyFill="1" applyBorder="1" applyAlignment="1" applyProtection="1">
      <alignment horizontal="center" vertical="top"/>
      <protection locked="0"/>
    </xf>
    <xf numFmtId="0" fontId="23" fillId="0" borderId="0" xfId="131" applyFont="1" applyAlignment="1"/>
    <xf numFmtId="0" fontId="3" fillId="0" borderId="0" xfId="125" applyFont="1" applyAlignment="1" applyProtection="1">
      <protection hidden="1"/>
    </xf>
    <xf numFmtId="0" fontId="3" fillId="0" borderId="0" xfId="0" applyFont="1" applyFill="1" applyAlignment="1"/>
    <xf numFmtId="166" fontId="3" fillId="0" borderId="0" xfId="62" applyNumberFormat="1" applyFont="1" applyFill="1" applyBorder="1" applyAlignment="1">
      <alignment vertical="top"/>
    </xf>
    <xf numFmtId="2" fontId="3" fillId="0" borderId="11" xfId="0" applyNumberFormat="1" applyFont="1" applyFill="1" applyBorder="1" applyAlignment="1">
      <alignment vertical="top"/>
    </xf>
    <xf numFmtId="0" fontId="3" fillId="0" borderId="35" xfId="125" applyFont="1" applyFill="1" applyBorder="1" applyAlignment="1"/>
    <xf numFmtId="0" fontId="26" fillId="0" borderId="11" xfId="0" applyNumberFormat="1" applyFont="1" applyFill="1" applyBorder="1" applyAlignment="1">
      <alignment vertical="top"/>
    </xf>
    <xf numFmtId="0" fontId="27" fillId="0" borderId="11" xfId="0" applyNumberFormat="1" applyFont="1" applyFill="1" applyBorder="1" applyAlignment="1">
      <alignment vertical="top"/>
    </xf>
    <xf numFmtId="166" fontId="3" fillId="0" borderId="0" xfId="126" applyNumberFormat="1" applyFont="1" applyFill="1" applyBorder="1" applyAlignment="1">
      <alignment horizontal="center" vertical="top"/>
    </xf>
    <xf numFmtId="0" fontId="3" fillId="0" borderId="0" xfId="0" applyFont="1" applyAlignment="1"/>
    <xf numFmtId="164" fontId="3" fillId="0" borderId="50" xfId="81" applyNumberFormat="1" applyFont="1" applyFill="1" applyBorder="1" applyAlignment="1" applyProtection="1">
      <alignment vertical="top"/>
      <protection locked="0"/>
    </xf>
    <xf numFmtId="166" fontId="3" fillId="0" borderId="50" xfId="62" applyNumberFormat="1" applyFont="1" applyFill="1" applyBorder="1" applyAlignment="1" applyProtection="1">
      <alignment vertical="top"/>
      <protection locked="0"/>
    </xf>
    <xf numFmtId="164" fontId="3" fillId="0" borderId="0" xfId="81" applyNumberFormat="1" applyFont="1" applyBorder="1" applyAlignment="1" applyProtection="1">
      <alignment vertical="top"/>
      <protection locked="0"/>
    </xf>
    <xf numFmtId="166" fontId="3" fillId="0" borderId="0" xfId="62" applyNumberFormat="1" applyFont="1" applyBorder="1" applyAlignment="1" applyProtection="1">
      <alignment vertical="top"/>
      <protection locked="0"/>
    </xf>
    <xf numFmtId="0" fontId="28" fillId="0" borderId="0" xfId="0" applyFont="1"/>
    <xf numFmtId="164" fontId="3" fillId="0" borderId="80" xfId="81" applyNumberFormat="1" applyFont="1" applyFill="1" applyBorder="1" applyAlignment="1" applyProtection="1">
      <alignment vertical="top"/>
      <protection locked="0"/>
    </xf>
    <xf numFmtId="166" fontId="3" fillId="0" borderId="80" xfId="62" applyNumberFormat="1" applyFont="1" applyFill="1" applyBorder="1" applyAlignment="1" applyProtection="1">
      <alignment vertical="top"/>
      <protection locked="0"/>
    </xf>
    <xf numFmtId="164" fontId="3" fillId="0" borderId="29" xfId="81" applyNumberFormat="1" applyFont="1" applyFill="1" applyBorder="1" applyAlignment="1" applyProtection="1">
      <alignment vertical="top"/>
      <protection locked="0"/>
    </xf>
    <xf numFmtId="0" fontId="23" fillId="0" borderId="0" xfId="125" applyFont="1" applyFill="1" applyBorder="1" applyAlignment="1">
      <alignment horizontal="left" vertical="top" wrapText="1" indent="1"/>
    </xf>
    <xf numFmtId="0" fontId="23" fillId="0" borderId="11" xfId="0" applyNumberFormat="1" applyFont="1" applyFill="1" applyBorder="1" applyAlignment="1">
      <alignment vertical="top"/>
    </xf>
    <xf numFmtId="0" fontId="3" fillId="0" borderId="26" xfId="0" applyFont="1" applyFill="1" applyBorder="1" applyAlignment="1">
      <alignment vertical="top"/>
    </xf>
    <xf numFmtId="164" fontId="3" fillId="26" borderId="38" xfId="81" applyNumberFormat="1" applyFont="1" applyFill="1" applyBorder="1" applyAlignment="1" applyProtection="1">
      <alignment horizontal="center" vertical="top"/>
      <protection locked="0"/>
    </xf>
    <xf numFmtId="0" fontId="3" fillId="0" borderId="0" xfId="125" applyFont="1" applyFill="1" applyBorder="1" applyAlignment="1" applyProtection="1"/>
    <xf numFmtId="49" fontId="3" fillId="0" borderId="42" xfId="0" applyNumberFormat="1" applyFont="1" applyBorder="1" applyAlignment="1">
      <alignment horizontal="center" vertical="top" wrapText="1"/>
    </xf>
    <xf numFmtId="49" fontId="3" fillId="0" borderId="85" xfId="0" applyNumberFormat="1" applyFont="1" applyBorder="1" applyAlignment="1">
      <alignment horizontal="center" vertical="top" wrapText="1"/>
    </xf>
    <xf numFmtId="49" fontId="3" fillId="0" borderId="86" xfId="0" applyNumberFormat="1" applyFont="1" applyBorder="1" applyAlignment="1">
      <alignment horizontal="center" vertical="top" wrapText="1"/>
    </xf>
    <xf numFmtId="49" fontId="3" fillId="0" borderId="87" xfId="0" applyNumberFormat="1" applyFont="1" applyBorder="1" applyAlignment="1">
      <alignment horizontal="center" vertical="top" wrapText="1"/>
    </xf>
    <xf numFmtId="49" fontId="3" fillId="0" borderId="10" xfId="0" applyNumberFormat="1" applyFont="1" applyBorder="1" applyAlignment="1">
      <alignment horizontal="center" vertical="top" wrapText="1"/>
    </xf>
    <xf numFmtId="164" fontId="3" fillId="0" borderId="80" xfId="125" applyNumberFormat="1" applyFont="1" applyFill="1" applyBorder="1" applyAlignment="1" applyProtection="1">
      <protection locked="0"/>
    </xf>
    <xf numFmtId="164" fontId="3" fillId="0" borderId="27" xfId="81" applyNumberFormat="1" applyFont="1" applyBorder="1" applyAlignment="1" applyProtection="1">
      <alignment vertical="top"/>
      <protection locked="0"/>
    </xf>
    <xf numFmtId="166" fontId="3" fillId="0" borderId="27" xfId="62" applyNumberFormat="1" applyFont="1" applyBorder="1" applyAlignment="1" applyProtection="1">
      <alignment vertical="top"/>
      <protection locked="0"/>
    </xf>
    <xf numFmtId="164" fontId="3" fillId="0" borderId="75" xfId="81" applyNumberFormat="1" applyFont="1" applyFill="1" applyBorder="1" applyAlignment="1" applyProtection="1">
      <alignment vertical="top"/>
      <protection locked="0"/>
    </xf>
    <xf numFmtId="164" fontId="3" fillId="0" borderId="75" xfId="81" applyNumberFormat="1" applyFont="1" applyBorder="1" applyAlignment="1" applyProtection="1">
      <alignment vertical="top"/>
      <protection locked="0"/>
    </xf>
    <xf numFmtId="166" fontId="3" fillId="0" borderId="29" xfId="62" applyNumberFormat="1" applyFont="1" applyBorder="1" applyAlignment="1" applyProtection="1">
      <alignment vertical="top"/>
      <protection locked="0"/>
    </xf>
    <xf numFmtId="166" fontId="3" fillId="0" borderId="75" xfId="62" applyNumberFormat="1" applyFont="1" applyBorder="1" applyAlignment="1" applyProtection="1">
      <alignment vertical="top"/>
      <protection locked="0"/>
    </xf>
    <xf numFmtId="164" fontId="3" fillId="0" borderId="50" xfId="81" applyNumberFormat="1" applyFont="1" applyFill="1" applyBorder="1" applyAlignment="1" applyProtection="1">
      <alignment horizontal="center" vertical="top"/>
      <protection locked="0"/>
    </xf>
    <xf numFmtId="164" fontId="3" fillId="26" borderId="0" xfId="81" applyNumberFormat="1" applyFont="1" applyFill="1" applyBorder="1" applyAlignment="1" applyProtection="1">
      <alignment horizontal="center" vertical="top"/>
      <protection locked="0"/>
    </xf>
    <xf numFmtId="164" fontId="3" fillId="0" borderId="14" xfId="81" applyNumberFormat="1" applyFont="1" applyFill="1" applyBorder="1" applyAlignment="1" applyProtection="1">
      <alignment horizontal="center" vertical="top"/>
      <protection locked="0"/>
    </xf>
    <xf numFmtId="0" fontId="3" fillId="0" borderId="89" xfId="125" applyFont="1" applyBorder="1" applyAlignment="1">
      <alignment horizontal="center"/>
    </xf>
    <xf numFmtId="0" fontId="3" fillId="0" borderId="86" xfId="125" applyFont="1" applyBorder="1" applyAlignment="1">
      <alignment horizontal="center"/>
    </xf>
    <xf numFmtId="0" fontId="3" fillId="0" borderId="61" xfId="125" applyFont="1" applyBorder="1" applyAlignment="1">
      <alignment horizontal="center"/>
    </xf>
    <xf numFmtId="164" fontId="3" fillId="0" borderId="0" xfId="81" applyNumberFormat="1" applyFont="1" applyFill="1" applyBorder="1"/>
    <xf numFmtId="49" fontId="3" fillId="0" borderId="85" xfId="0" applyNumberFormat="1" applyFont="1" applyFill="1" applyBorder="1" applyAlignment="1">
      <alignment horizontal="center" vertical="top" wrapText="1"/>
    </xf>
    <xf numFmtId="0" fontId="3" fillId="0" borderId="0" xfId="0" applyFont="1" applyFill="1" applyAlignment="1">
      <alignment horizontal="right"/>
    </xf>
    <xf numFmtId="164" fontId="3" fillId="0" borderId="80" xfId="81" applyNumberFormat="1" applyFont="1" applyFill="1" applyBorder="1" applyAlignment="1" applyProtection="1">
      <alignment horizontal="center" vertical="top"/>
      <protection locked="0"/>
    </xf>
    <xf numFmtId="164" fontId="3" fillId="0" borderId="75" xfId="81" applyNumberFormat="1" applyFont="1" applyFill="1" applyBorder="1" applyAlignment="1" applyProtection="1">
      <alignment horizontal="center" vertical="top"/>
      <protection locked="0"/>
    </xf>
    <xf numFmtId="164" fontId="3" fillId="26" borderId="75" xfId="81" applyNumberFormat="1" applyFont="1" applyFill="1" applyBorder="1" applyAlignment="1" applyProtection="1">
      <alignment horizontal="center" vertical="top"/>
      <protection locked="0"/>
    </xf>
    <xf numFmtId="0" fontId="23" fillId="0" borderId="0" xfId="0" applyFont="1" applyFill="1" applyProtection="1"/>
    <xf numFmtId="0" fontId="21" fillId="0" borderId="0" xfId="199"/>
    <xf numFmtId="0" fontId="23" fillId="0" borderId="0" xfId="126" applyFont="1" applyFill="1" applyAlignment="1"/>
    <xf numFmtId="0" fontId="0" fillId="0" borderId="0" xfId="0"/>
    <xf numFmtId="0" fontId="23" fillId="0" borderId="0" xfId="126" applyFont="1" applyFill="1" applyAlignment="1"/>
    <xf numFmtId="0" fontId="23" fillId="0" borderId="0" xfId="126" applyFont="1" applyFill="1" applyAlignment="1"/>
    <xf numFmtId="0" fontId="3" fillId="0" borderId="0" xfId="126" applyFill="1"/>
    <xf numFmtId="0" fontId="4" fillId="0" borderId="0" xfId="253" applyFont="1" applyFill="1" applyBorder="1" applyAlignment="1">
      <alignment horizontal="center"/>
    </xf>
    <xf numFmtId="0" fontId="3" fillId="0" borderId="0" xfId="126" applyFont="1" applyFill="1"/>
    <xf numFmtId="0" fontId="3" fillId="0" borderId="15" xfId="126" applyFill="1" applyBorder="1" applyAlignment="1">
      <alignment horizontal="center"/>
    </xf>
    <xf numFmtId="0" fontId="3" fillId="0" borderId="22" xfId="126" applyFill="1" applyBorder="1" applyAlignment="1">
      <alignment horizontal="center"/>
    </xf>
    <xf numFmtId="0" fontId="4" fillId="0" borderId="12" xfId="253" applyFont="1" applyFill="1" applyBorder="1" applyAlignment="1">
      <alignment wrapText="1"/>
    </xf>
    <xf numFmtId="0" fontId="3" fillId="0" borderId="12" xfId="126" applyNumberFormat="1" applyFill="1" applyBorder="1"/>
    <xf numFmtId="0" fontId="3" fillId="0" borderId="12" xfId="126" applyFont="1" applyFill="1" applyBorder="1"/>
    <xf numFmtId="166" fontId="3" fillId="0" borderId="13" xfId="65" applyNumberFormat="1" applyFill="1" applyBorder="1" applyAlignment="1"/>
    <xf numFmtId="165" fontId="3" fillId="0" borderId="14" xfId="171" applyNumberFormat="1" applyFont="1" applyFill="1" applyBorder="1" applyAlignment="1">
      <alignment horizontal="center"/>
    </xf>
    <xf numFmtId="0" fontId="4" fillId="0" borderId="13" xfId="253" applyFont="1" applyFill="1" applyBorder="1" applyAlignment="1">
      <alignment wrapText="1"/>
    </xf>
    <xf numFmtId="0" fontId="3" fillId="0" borderId="13" xfId="126" applyNumberFormat="1" applyFill="1" applyBorder="1"/>
    <xf numFmtId="0" fontId="3" fillId="0" borderId="20" xfId="126" applyFont="1" applyFill="1" applyBorder="1"/>
    <xf numFmtId="166" fontId="3" fillId="0" borderId="20" xfId="65" applyNumberFormat="1" applyFill="1" applyBorder="1" applyAlignment="1"/>
    <xf numFmtId="165" fontId="3" fillId="0" borderId="18" xfId="171" applyNumberFormat="1" applyFont="1" applyFill="1" applyBorder="1" applyAlignment="1">
      <alignment horizontal="center"/>
    </xf>
    <xf numFmtId="0" fontId="3" fillId="0" borderId="15" xfId="126" applyFont="1" applyFill="1" applyBorder="1" applyAlignment="1">
      <alignment horizontal="center"/>
    </xf>
    <xf numFmtId="6" fontId="3" fillId="0" borderId="12" xfId="126" applyNumberFormat="1" applyFill="1" applyBorder="1" applyAlignment="1">
      <alignment horizontal="right"/>
    </xf>
    <xf numFmtId="168" fontId="3" fillId="0" borderId="17" xfId="126" applyNumberFormat="1" applyFill="1" applyBorder="1" applyAlignment="1">
      <alignment horizontal="center"/>
    </xf>
    <xf numFmtId="6" fontId="3" fillId="0" borderId="13" xfId="126" applyNumberFormat="1" applyFill="1" applyBorder="1" applyAlignment="1">
      <alignment horizontal="right"/>
    </xf>
    <xf numFmtId="0" fontId="3" fillId="0" borderId="14" xfId="126" applyFill="1" applyBorder="1" applyAlignment="1">
      <alignment horizontal="center"/>
    </xf>
    <xf numFmtId="6" fontId="3" fillId="0" borderId="20" xfId="126" applyNumberFormat="1" applyFill="1" applyBorder="1" applyAlignment="1">
      <alignment horizontal="right"/>
    </xf>
    <xf numFmtId="0" fontId="3" fillId="0" borderId="18" xfId="126" applyFill="1" applyBorder="1" applyAlignment="1">
      <alignment horizontal="center"/>
    </xf>
    <xf numFmtId="0" fontId="3" fillId="0" borderId="20" xfId="126" applyNumberFormat="1" applyFill="1" applyBorder="1"/>
    <xf numFmtId="0" fontId="4" fillId="0" borderId="20" xfId="253" applyFont="1" applyFill="1" applyBorder="1" applyAlignment="1">
      <alignment wrapText="1"/>
    </xf>
    <xf numFmtId="0" fontId="3" fillId="0" borderId="0" xfId="126" applyFill="1" applyBorder="1"/>
    <xf numFmtId="164" fontId="3" fillId="0" borderId="109" xfId="81" applyNumberFormat="1" applyFont="1" applyFill="1" applyBorder="1" applyAlignment="1" applyProtection="1">
      <alignment vertical="top"/>
      <protection locked="0"/>
    </xf>
    <xf numFmtId="164" fontId="3" fillId="29" borderId="23" xfId="81" applyNumberFormat="1" applyFont="1" applyFill="1" applyBorder="1" applyAlignment="1" applyProtection="1">
      <alignment vertical="top"/>
      <protection locked="0"/>
    </xf>
    <xf numFmtId="0" fontId="3" fillId="0" borderId="58" xfId="0" applyFont="1" applyFill="1" applyBorder="1" applyAlignment="1">
      <alignment horizontal="center" vertical="top" wrapText="1"/>
    </xf>
    <xf numFmtId="0" fontId="3" fillId="0" borderId="59" xfId="0" applyFont="1" applyFill="1" applyBorder="1" applyAlignment="1">
      <alignment horizontal="center" vertical="top" wrapText="1"/>
    </xf>
    <xf numFmtId="0" fontId="3" fillId="0" borderId="51" xfId="0" applyFont="1" applyFill="1" applyBorder="1" applyAlignment="1">
      <alignment horizontal="center" vertical="top" wrapText="1"/>
    </xf>
    <xf numFmtId="0" fontId="3" fillId="0" borderId="97" xfId="0" applyFont="1" applyFill="1" applyBorder="1" applyAlignment="1">
      <alignment horizontal="center" vertical="top" wrapText="1"/>
    </xf>
    <xf numFmtId="0" fontId="3" fillId="0" borderId="98" xfId="0" applyFont="1" applyFill="1" applyBorder="1" applyAlignment="1">
      <alignment horizontal="center" vertical="top" wrapText="1"/>
    </xf>
    <xf numFmtId="0" fontId="3" fillId="0" borderId="68" xfId="0" applyFont="1" applyFill="1" applyBorder="1" applyAlignment="1">
      <alignment horizontal="center" vertical="top" wrapText="1"/>
    </xf>
    <xf numFmtId="0" fontId="3" fillId="0" borderId="20" xfId="0" applyFont="1" applyFill="1" applyBorder="1" applyAlignment="1">
      <alignment horizontal="center" vertical="top" wrapText="1"/>
    </xf>
    <xf numFmtId="0" fontId="3" fillId="0" borderId="76" xfId="0" applyFont="1" applyFill="1" applyBorder="1" applyAlignment="1">
      <alignment horizontal="center" vertical="top" wrapText="1"/>
    </xf>
    <xf numFmtId="0" fontId="33" fillId="0" borderId="0" xfId="0" applyFont="1" applyFill="1"/>
    <xf numFmtId="167" fontId="3" fillId="0" borderId="0" xfId="125" applyNumberFormat="1" applyFont="1" applyFill="1" applyAlignment="1"/>
    <xf numFmtId="0" fontId="26" fillId="0" borderId="97" xfId="125" applyFont="1" applyFill="1" applyBorder="1" applyAlignment="1">
      <alignment horizontal="center"/>
    </xf>
    <xf numFmtId="0" fontId="26" fillId="0" borderId="100" xfId="125" applyFont="1" applyFill="1" applyBorder="1" applyAlignment="1">
      <alignment horizontal="center"/>
    </xf>
    <xf numFmtId="0" fontId="26" fillId="0" borderId="68" xfId="125" applyFont="1" applyFill="1" applyBorder="1" applyAlignment="1">
      <alignment horizontal="center"/>
    </xf>
    <xf numFmtId="0" fontId="26" fillId="0" borderId="53" xfId="125" applyFont="1" applyFill="1" applyBorder="1" applyAlignment="1">
      <alignment horizontal="center"/>
    </xf>
    <xf numFmtId="0" fontId="26" fillId="0" borderId="36" xfId="125" applyFont="1" applyFill="1" applyBorder="1" applyAlignment="1">
      <alignment horizontal="center"/>
    </xf>
    <xf numFmtId="0" fontId="26" fillId="0" borderId="52" xfId="125" applyFont="1" applyFill="1" applyBorder="1" applyAlignment="1">
      <alignment horizontal="center"/>
    </xf>
    <xf numFmtId="0" fontId="26" fillId="0" borderId="102" xfId="125" applyFont="1" applyFill="1" applyBorder="1" applyAlignment="1">
      <alignment horizontal="center"/>
    </xf>
    <xf numFmtId="0" fontId="26" fillId="0" borderId="103" xfId="125" applyFont="1" applyFill="1" applyBorder="1" applyAlignment="1">
      <alignment horizontal="center"/>
    </xf>
    <xf numFmtId="0" fontId="26" fillId="0" borderId="101" xfId="125" applyFont="1" applyFill="1" applyBorder="1" applyAlignment="1">
      <alignment horizontal="center"/>
    </xf>
    <xf numFmtId="49" fontId="3" fillId="0" borderId="0" xfId="0" applyNumberFormat="1" applyFont="1"/>
    <xf numFmtId="0" fontId="3" fillId="28" borderId="0" xfId="0" applyNumberFormat="1" applyFont="1" applyFill="1" applyAlignment="1">
      <alignment horizontal="left"/>
    </xf>
    <xf numFmtId="0" fontId="3" fillId="0" borderId="0" xfId="0" applyFont="1" applyFill="1" applyProtection="1"/>
    <xf numFmtId="0" fontId="28" fillId="0" borderId="0" xfId="0" applyFont="1" applyProtection="1"/>
    <xf numFmtId="0" fontId="34" fillId="0" borderId="0" xfId="0" applyFont="1" applyFill="1" applyProtection="1"/>
    <xf numFmtId="0" fontId="0" fillId="0" borderId="0" xfId="0" applyProtection="1"/>
    <xf numFmtId="49" fontId="3" fillId="28" borderId="0" xfId="125" applyNumberFormat="1" applyFont="1" applyFill="1" applyBorder="1" applyAlignment="1" applyProtection="1">
      <alignment horizontal="left"/>
    </xf>
    <xf numFmtId="49" fontId="3" fillId="28" borderId="0" xfId="0" applyNumberFormat="1" applyFont="1" applyFill="1" applyBorder="1" applyAlignment="1" applyProtection="1">
      <alignment horizontal="left"/>
    </xf>
    <xf numFmtId="49" fontId="3" fillId="28" borderId="0" xfId="0" applyNumberFormat="1" applyFont="1" applyFill="1" applyAlignment="1" applyProtection="1">
      <alignment horizontal="left"/>
    </xf>
    <xf numFmtId="49" fontId="3" fillId="0" borderId="0" xfId="0" applyNumberFormat="1" applyFont="1" applyFill="1" applyProtection="1"/>
    <xf numFmtId="0" fontId="3" fillId="0" borderId="0" xfId="0" applyFont="1" applyFill="1" applyBorder="1" applyProtection="1"/>
    <xf numFmtId="49" fontId="3" fillId="0" borderId="12" xfId="0" applyNumberFormat="1" applyFont="1" applyBorder="1" applyAlignment="1" applyProtection="1">
      <alignment horizontal="right" vertical="top"/>
    </xf>
    <xf numFmtId="0" fontId="3" fillId="0" borderId="16" xfId="0" applyFont="1" applyFill="1" applyBorder="1" applyAlignment="1" applyProtection="1">
      <alignment horizontal="left" vertical="top" indent="1"/>
    </xf>
    <xf numFmtId="0" fontId="3" fillId="0" borderId="17" xfId="0" applyFont="1" applyFill="1" applyBorder="1" applyAlignment="1" applyProtection="1">
      <alignment vertical="top"/>
    </xf>
    <xf numFmtId="49" fontId="3" fillId="0" borderId="13" xfId="0" applyNumberFormat="1" applyFont="1" applyBorder="1" applyAlignment="1" applyProtection="1">
      <alignment horizontal="right" vertical="top"/>
    </xf>
    <xf numFmtId="0" fontId="3" fillId="0" borderId="11" xfId="0" applyFont="1" applyFill="1" applyBorder="1" applyAlignment="1" applyProtection="1">
      <alignment vertical="top"/>
    </xf>
    <xf numFmtId="0" fontId="3" fillId="0" borderId="14" xfId="0" applyFont="1" applyFill="1" applyBorder="1" applyAlignment="1" applyProtection="1">
      <alignment horizontal="left" vertical="top" wrapText="1" indent="1"/>
    </xf>
    <xf numFmtId="0" fontId="3" fillId="0" borderId="11" xfId="0" applyFont="1" applyBorder="1" applyAlignment="1" applyProtection="1">
      <alignment vertical="top"/>
    </xf>
    <xf numFmtId="0" fontId="3" fillId="0" borderId="14" xfId="0" applyFont="1" applyFill="1" applyBorder="1" applyAlignment="1" applyProtection="1">
      <alignment horizontal="left" vertical="top" indent="1"/>
    </xf>
    <xf numFmtId="0" fontId="3" fillId="0" borderId="14" xfId="0" applyFont="1" applyFill="1" applyBorder="1" applyAlignment="1" applyProtection="1">
      <alignment vertical="top"/>
    </xf>
    <xf numFmtId="49" fontId="3" fillId="0" borderId="13" xfId="0" applyNumberFormat="1" applyFont="1" applyFill="1" applyBorder="1" applyAlignment="1" applyProtection="1">
      <alignment horizontal="right" vertical="top"/>
    </xf>
    <xf numFmtId="49" fontId="3" fillId="0" borderId="11" xfId="0" applyNumberFormat="1" applyFont="1" applyFill="1" applyBorder="1" applyAlignment="1" applyProtection="1">
      <alignment horizontal="right" vertical="top"/>
    </xf>
    <xf numFmtId="0" fontId="3" fillId="0" borderId="11" xfId="0" applyNumberFormat="1" applyFont="1" applyFill="1" applyBorder="1" applyAlignment="1" applyProtection="1">
      <alignment vertical="top"/>
    </xf>
    <xf numFmtId="0" fontId="3" fillId="0" borderId="0" xfId="0" applyFont="1" applyFill="1" applyBorder="1" applyAlignment="1" applyProtection="1">
      <alignment vertical="top"/>
    </xf>
    <xf numFmtId="0" fontId="3" fillId="0" borderId="16" xfId="0" applyFont="1" applyBorder="1" applyAlignment="1" applyProtection="1">
      <alignment horizontal="left" vertical="top" indent="1"/>
    </xf>
    <xf numFmtId="0" fontId="3" fillId="0" borderId="17" xfId="0" applyFont="1" applyBorder="1" applyAlignment="1" applyProtection="1">
      <alignment vertical="top"/>
    </xf>
    <xf numFmtId="0" fontId="3" fillId="0" borderId="13" xfId="0" applyFont="1" applyBorder="1" applyAlignment="1" applyProtection="1">
      <alignment vertical="top"/>
    </xf>
    <xf numFmtId="0" fontId="3" fillId="0" borderId="13" xfId="0" applyFont="1" applyFill="1" applyBorder="1" applyAlignment="1" applyProtection="1">
      <alignment vertical="top"/>
    </xf>
    <xf numFmtId="49" fontId="3" fillId="0" borderId="11" xfId="0" applyNumberFormat="1" applyFont="1" applyBorder="1" applyAlignment="1" applyProtection="1">
      <alignment horizontal="right" vertical="top"/>
    </xf>
    <xf numFmtId="0" fontId="3" fillId="0" borderId="11" xfId="0" applyFont="1" applyBorder="1" applyProtection="1"/>
    <xf numFmtId="49" fontId="3" fillId="0" borderId="15" xfId="0" applyNumberFormat="1" applyFont="1" applyBorder="1" applyAlignment="1" applyProtection="1">
      <alignment horizontal="right" vertical="top"/>
    </xf>
    <xf numFmtId="0" fontId="3" fillId="0" borderId="21" xfId="0" applyFont="1" applyBorder="1" applyAlignment="1" applyProtection="1">
      <alignment horizontal="left" vertical="top" indent="1"/>
    </xf>
    <xf numFmtId="0" fontId="3" fillId="0" borderId="19" xfId="0" applyFont="1" applyBorder="1" applyAlignment="1" applyProtection="1">
      <alignment vertical="top"/>
    </xf>
    <xf numFmtId="0" fontId="3" fillId="0" borderId="21" xfId="0" applyFont="1" applyBorder="1" applyAlignment="1" applyProtection="1">
      <alignment vertical="top"/>
    </xf>
    <xf numFmtId="0" fontId="3" fillId="0" borderId="11" xfId="0" applyFont="1" applyBorder="1" applyAlignment="1" applyProtection="1">
      <alignment horizontal="left" vertical="top" indent="1"/>
    </xf>
    <xf numFmtId="0" fontId="3" fillId="0" borderId="14" xfId="0" applyFont="1" applyBorder="1" applyAlignment="1" applyProtection="1">
      <alignment vertical="top"/>
    </xf>
    <xf numFmtId="49" fontId="3" fillId="0" borderId="25" xfId="0" applyNumberFormat="1" applyFont="1" applyBorder="1" applyAlignment="1" applyProtection="1">
      <alignment horizontal="right" vertical="top"/>
    </xf>
    <xf numFmtId="0" fontId="3" fillId="0" borderId="19" xfId="0" applyFont="1" applyBorder="1" applyAlignment="1" applyProtection="1">
      <alignment horizontal="left" vertical="top" indent="1"/>
    </xf>
    <xf numFmtId="0" fontId="3" fillId="0" borderId="24" xfId="0" applyFont="1" applyBorder="1" applyAlignment="1" applyProtection="1">
      <alignment vertical="top"/>
    </xf>
    <xf numFmtId="49" fontId="3" fillId="0" borderId="71" xfId="0" applyNumberFormat="1" applyFont="1" applyBorder="1" applyAlignment="1" applyProtection="1">
      <alignment horizontal="right" vertical="top"/>
    </xf>
    <xf numFmtId="0" fontId="3" fillId="0" borderId="72" xfId="0" applyFont="1" applyBorder="1" applyAlignment="1" applyProtection="1">
      <alignment horizontal="left" vertical="top" indent="1"/>
    </xf>
    <xf numFmtId="0" fontId="3" fillId="0" borderId="72" xfId="0" applyFont="1" applyBorder="1" applyAlignment="1" applyProtection="1">
      <alignment vertical="top"/>
    </xf>
    <xf numFmtId="0" fontId="3" fillId="0" borderId="90" xfId="0" applyFont="1" applyBorder="1" applyAlignment="1" applyProtection="1">
      <alignment vertical="top"/>
    </xf>
    <xf numFmtId="0" fontId="23" fillId="0" borderId="0" xfId="126" applyFont="1" applyFill="1" applyAlignment="1" applyProtection="1"/>
    <xf numFmtId="164" fontId="3" fillId="0" borderId="0" xfId="81" applyNumberFormat="1" applyFont="1" applyBorder="1" applyProtection="1"/>
    <xf numFmtId="0" fontId="3" fillId="0" borderId="0" xfId="0" applyFont="1" applyFill="1" applyAlignment="1" applyProtection="1">
      <alignment horizontal="center"/>
    </xf>
    <xf numFmtId="0" fontId="23" fillId="0" borderId="0" xfId="125" applyFont="1" applyFill="1" applyBorder="1" applyAlignment="1" applyProtection="1">
      <alignment horizontal="center" vertical="center"/>
    </xf>
    <xf numFmtId="49" fontId="3" fillId="0" borderId="42" xfId="0" applyNumberFormat="1" applyFont="1" applyBorder="1" applyAlignment="1" applyProtection="1">
      <alignment horizontal="center" vertical="top" wrapText="1"/>
    </xf>
    <xf numFmtId="49" fontId="3" fillId="0" borderId="85" xfId="0" applyNumberFormat="1" applyFont="1" applyBorder="1" applyAlignment="1" applyProtection="1">
      <alignment horizontal="center" vertical="top" wrapText="1"/>
    </xf>
    <xf numFmtId="49" fontId="3" fillId="0" borderId="85" xfId="0" applyNumberFormat="1" applyFont="1" applyFill="1" applyBorder="1" applyAlignment="1" applyProtection="1">
      <alignment horizontal="center" vertical="top" wrapText="1"/>
    </xf>
    <xf numFmtId="49" fontId="3" fillId="0" borderId="86" xfId="0" applyNumberFormat="1" applyFont="1" applyBorder="1" applyAlignment="1" applyProtection="1">
      <alignment horizontal="center" vertical="top" wrapText="1"/>
    </xf>
    <xf numFmtId="49" fontId="3" fillId="0" borderId="87" xfId="0" applyNumberFormat="1" applyFont="1" applyBorder="1" applyAlignment="1" applyProtection="1">
      <alignment horizontal="center" vertical="top" wrapText="1"/>
    </xf>
    <xf numFmtId="49" fontId="3" fillId="0" borderId="10" xfId="0" applyNumberFormat="1" applyFont="1" applyBorder="1" applyAlignment="1" applyProtection="1">
      <alignment horizontal="center" vertical="top" wrapText="1"/>
    </xf>
    <xf numFmtId="0" fontId="3" fillId="0" borderId="89" xfId="0" applyFont="1" applyFill="1" applyBorder="1" applyAlignment="1" applyProtection="1">
      <alignment horizontal="center" vertical="top" wrapText="1"/>
    </xf>
    <xf numFmtId="0" fontId="3" fillId="0" borderId="85" xfId="0" applyFont="1" applyFill="1" applyBorder="1" applyAlignment="1" applyProtection="1">
      <alignment horizontal="center" vertical="top" wrapText="1"/>
    </xf>
    <xf numFmtId="0" fontId="3" fillId="0" borderId="86" xfId="0" applyFont="1" applyFill="1" applyBorder="1" applyAlignment="1" applyProtection="1">
      <alignment horizontal="center" vertical="top" wrapText="1"/>
    </xf>
    <xf numFmtId="0" fontId="3" fillId="0" borderId="87" xfId="0" applyFont="1" applyFill="1" applyBorder="1" applyAlignment="1" applyProtection="1">
      <alignment horizontal="center" vertical="top" wrapText="1"/>
    </xf>
    <xf numFmtId="0" fontId="3" fillId="0" borderId="60" xfId="0" applyFont="1" applyFill="1" applyBorder="1" applyAlignment="1" applyProtection="1">
      <alignment horizontal="center" vertical="top" wrapText="1"/>
    </xf>
    <xf numFmtId="0" fontId="3" fillId="0" borderId="61" xfId="0" applyFont="1" applyFill="1" applyBorder="1" applyAlignment="1" applyProtection="1">
      <alignment horizontal="center" vertical="top" wrapText="1"/>
    </xf>
    <xf numFmtId="0" fontId="3" fillId="0" borderId="88" xfId="0" applyFont="1" applyFill="1" applyBorder="1" applyAlignment="1" applyProtection="1">
      <alignment horizontal="center" vertical="top" wrapText="1"/>
    </xf>
    <xf numFmtId="0" fontId="3" fillId="0" borderId="63" xfId="0" applyFont="1" applyFill="1" applyBorder="1" applyAlignment="1" applyProtection="1">
      <alignment horizontal="center" vertical="top" wrapText="1"/>
    </xf>
    <xf numFmtId="0" fontId="3" fillId="0" borderId="65" xfId="0" applyFont="1" applyFill="1" applyBorder="1" applyAlignment="1" applyProtection="1">
      <alignment horizontal="center" vertical="top" wrapText="1"/>
    </xf>
    <xf numFmtId="164" fontId="3" fillId="26" borderId="26" xfId="81" applyNumberFormat="1" applyFont="1" applyFill="1" applyBorder="1" applyAlignment="1" applyProtection="1">
      <alignment vertical="top"/>
      <protection locked="0"/>
    </xf>
    <xf numFmtId="164" fontId="3" fillId="0" borderId="23" xfId="125" applyNumberFormat="1" applyFont="1" applyFill="1" applyBorder="1" applyAlignment="1" applyProtection="1">
      <protection locked="0"/>
    </xf>
    <xf numFmtId="164" fontId="3" fillId="26" borderId="75" xfId="81" applyNumberFormat="1" applyFont="1" applyFill="1" applyBorder="1" applyAlignment="1" applyProtection="1">
      <alignment vertical="top"/>
      <protection locked="0"/>
    </xf>
    <xf numFmtId="164" fontId="3" fillId="26" borderId="23" xfId="81" applyNumberFormat="1" applyFont="1" applyFill="1" applyBorder="1" applyAlignment="1" applyProtection="1">
      <alignment horizontal="center" vertical="top"/>
      <protection locked="0"/>
    </xf>
    <xf numFmtId="164" fontId="3" fillId="26" borderId="80" xfId="81" applyNumberFormat="1" applyFont="1" applyFill="1" applyBorder="1" applyAlignment="1" applyProtection="1">
      <alignment horizontal="center" vertical="top"/>
      <protection locked="0"/>
    </xf>
    <xf numFmtId="164" fontId="3" fillId="26" borderId="50" xfId="81" applyNumberFormat="1" applyFont="1" applyFill="1" applyBorder="1" applyAlignment="1" applyProtection="1">
      <alignment horizontal="center" vertical="top"/>
      <protection locked="0"/>
    </xf>
    <xf numFmtId="164" fontId="3" fillId="26" borderId="104" xfId="81" applyNumberFormat="1" applyFont="1" applyFill="1" applyBorder="1" applyAlignment="1" applyProtection="1">
      <alignment vertical="top"/>
      <protection locked="0"/>
    </xf>
    <xf numFmtId="164" fontId="3" fillId="26" borderId="105" xfId="81" applyNumberFormat="1" applyFont="1" applyFill="1" applyBorder="1" applyAlignment="1" applyProtection="1">
      <alignment vertical="top"/>
      <protection locked="0"/>
    </xf>
    <xf numFmtId="164" fontId="3" fillId="26" borderId="106" xfId="81" applyNumberFormat="1" applyFont="1" applyFill="1" applyBorder="1" applyAlignment="1" applyProtection="1">
      <alignment vertical="top"/>
      <protection locked="0"/>
    </xf>
    <xf numFmtId="164" fontId="3" fillId="26" borderId="107" xfId="81" applyNumberFormat="1" applyFont="1" applyFill="1" applyBorder="1" applyAlignment="1" applyProtection="1">
      <alignment vertical="top"/>
      <protection locked="0"/>
    </xf>
    <xf numFmtId="164" fontId="3" fillId="26" borderId="108" xfId="81" applyNumberFormat="1" applyFont="1" applyFill="1" applyBorder="1" applyAlignment="1" applyProtection="1">
      <alignment vertical="top"/>
      <protection locked="0"/>
    </xf>
    <xf numFmtId="164" fontId="3" fillId="26" borderId="25" xfId="81" applyNumberFormat="1" applyFont="1" applyFill="1" applyBorder="1" applyAlignment="1" applyProtection="1">
      <alignment vertical="top"/>
      <protection locked="0"/>
    </xf>
    <xf numFmtId="164" fontId="3" fillId="26" borderId="19" xfId="81" applyNumberFormat="1" applyFont="1" applyFill="1" applyBorder="1" applyAlignment="1" applyProtection="1">
      <alignment vertical="top"/>
      <protection locked="0"/>
    </xf>
    <xf numFmtId="164" fontId="3" fillId="26" borderId="15" xfId="81" applyNumberFormat="1" applyFont="1" applyFill="1" applyBorder="1" applyAlignment="1" applyProtection="1">
      <alignment vertical="top"/>
      <protection locked="0"/>
    </xf>
    <xf numFmtId="166" fontId="3" fillId="0" borderId="23" xfId="62" applyNumberFormat="1" applyFont="1" applyFill="1" applyBorder="1" applyAlignment="1" applyProtection="1">
      <alignment vertical="top"/>
      <protection locked="0"/>
    </xf>
    <xf numFmtId="164" fontId="3" fillId="0" borderId="93" xfId="81" applyNumberFormat="1" applyFont="1" applyFill="1" applyBorder="1" applyAlignment="1" applyProtection="1">
      <alignment horizontal="center" vertical="top"/>
      <protection locked="0"/>
    </xf>
    <xf numFmtId="164" fontId="3" fillId="26" borderId="26" xfId="81" applyNumberFormat="1" applyFont="1" applyFill="1" applyBorder="1" applyAlignment="1" applyProtection="1">
      <alignment horizontal="center" vertical="top"/>
      <protection locked="0"/>
    </xf>
    <xf numFmtId="164" fontId="3" fillId="26" borderId="27" xfId="81" applyNumberFormat="1" applyFont="1" applyFill="1" applyBorder="1" applyAlignment="1" applyProtection="1">
      <alignment horizontal="center" vertical="top"/>
      <protection locked="0"/>
    </xf>
    <xf numFmtId="164" fontId="3" fillId="26" borderId="13" xfId="81" applyNumberFormat="1" applyFont="1" applyFill="1" applyBorder="1" applyAlignment="1" applyProtection="1">
      <alignment horizontal="center" vertical="top"/>
      <protection locked="0"/>
    </xf>
    <xf numFmtId="164" fontId="3" fillId="26" borderId="14" xfId="81" applyNumberFormat="1" applyFont="1" applyFill="1" applyBorder="1" applyAlignment="1" applyProtection="1">
      <alignment horizontal="center" vertical="top"/>
      <protection locked="0"/>
    </xf>
    <xf numFmtId="164" fontId="3" fillId="26" borderId="13" xfId="81" applyNumberFormat="1" applyFont="1" applyFill="1" applyBorder="1" applyAlignment="1" applyProtection="1">
      <alignment vertical="top"/>
      <protection locked="0"/>
    </xf>
    <xf numFmtId="164" fontId="3" fillId="26" borderId="14" xfId="81" applyNumberFormat="1" applyFont="1" applyFill="1" applyBorder="1" applyAlignment="1" applyProtection="1">
      <alignment vertical="top"/>
      <protection locked="0"/>
    </xf>
    <xf numFmtId="164" fontId="3" fillId="27" borderId="43" xfId="91" applyNumberFormat="1" applyFont="1" applyFill="1" applyBorder="1" applyAlignment="1" applyProtection="1">
      <alignment vertical="top"/>
      <protection locked="0"/>
    </xf>
    <xf numFmtId="164" fontId="3" fillId="27" borderId="0" xfId="91" applyNumberFormat="1" applyFont="1" applyFill="1" applyBorder="1" applyAlignment="1" applyProtection="1">
      <alignment vertical="top"/>
      <protection locked="0"/>
    </xf>
    <xf numFmtId="164" fontId="3" fillId="27" borderId="75" xfId="91" applyNumberFormat="1" applyFont="1" applyFill="1" applyBorder="1" applyAlignment="1" applyProtection="1">
      <alignment vertical="top"/>
      <protection locked="0"/>
    </xf>
    <xf numFmtId="164" fontId="3" fillId="29" borderId="23" xfId="91" applyNumberFormat="1" applyFont="1" applyFill="1" applyBorder="1" applyAlignment="1" applyProtection="1">
      <alignment vertical="top"/>
      <protection locked="0"/>
    </xf>
    <xf numFmtId="164" fontId="3" fillId="30" borderId="75" xfId="91" applyNumberFormat="1" applyFont="1" applyFill="1" applyBorder="1" applyAlignment="1" applyProtection="1">
      <alignment vertical="top"/>
      <protection locked="0"/>
    </xf>
    <xf numFmtId="164" fontId="3" fillId="30" borderId="0" xfId="91" applyNumberFormat="1" applyFont="1" applyFill="1" applyBorder="1" applyAlignment="1" applyProtection="1">
      <alignment vertical="top"/>
      <protection locked="0"/>
    </xf>
    <xf numFmtId="164" fontId="3" fillId="30" borderId="75" xfId="81" applyNumberFormat="1" applyFont="1" applyFill="1" applyBorder="1" applyAlignment="1" applyProtection="1">
      <alignment vertical="top"/>
      <protection locked="0"/>
    </xf>
    <xf numFmtId="164" fontId="3" fillId="30" borderId="0" xfId="81" applyNumberFormat="1" applyFont="1" applyFill="1" applyBorder="1" applyAlignment="1" applyProtection="1">
      <alignment vertical="top"/>
      <protection locked="0"/>
    </xf>
    <xf numFmtId="164" fontId="3" fillId="27" borderId="43" xfId="81" applyNumberFormat="1" applyFont="1" applyFill="1" applyBorder="1" applyAlignment="1" applyProtection="1">
      <alignment vertical="top"/>
      <protection locked="0"/>
    </xf>
    <xf numFmtId="164" fontId="3" fillId="27" borderId="23" xfId="81" applyNumberFormat="1" applyFont="1" applyFill="1" applyBorder="1" applyAlignment="1" applyProtection="1">
      <alignment vertical="top"/>
      <protection locked="0"/>
    </xf>
    <xf numFmtId="166" fontId="3" fillId="29" borderId="23" xfId="62" applyNumberFormat="1" applyFont="1" applyFill="1" applyBorder="1" applyAlignment="1" applyProtection="1">
      <alignment vertical="top"/>
      <protection locked="0"/>
    </xf>
    <xf numFmtId="166" fontId="3" fillId="30" borderId="75" xfId="62" applyNumberFormat="1" applyFont="1" applyFill="1" applyBorder="1" applyAlignment="1" applyProtection="1">
      <alignment vertical="top"/>
      <protection locked="0"/>
    </xf>
    <xf numFmtId="166" fontId="3" fillId="30" borderId="0" xfId="62" applyNumberFormat="1" applyFont="1" applyFill="1" applyBorder="1" applyAlignment="1" applyProtection="1">
      <alignment vertical="top"/>
      <protection locked="0"/>
    </xf>
    <xf numFmtId="164" fontId="3" fillId="30" borderId="23" xfId="62" applyNumberFormat="1" applyFont="1" applyFill="1" applyBorder="1" applyAlignment="1" applyProtection="1">
      <alignment horizontal="center" vertical="top"/>
      <protection locked="0"/>
    </xf>
    <xf numFmtId="164" fontId="3" fillId="27" borderId="23" xfId="62" applyNumberFormat="1" applyFont="1" applyFill="1" applyBorder="1" applyAlignment="1" applyProtection="1">
      <alignment horizontal="center" vertical="top"/>
      <protection locked="0"/>
    </xf>
    <xf numFmtId="165" fontId="3" fillId="27" borderId="23" xfId="62" applyNumberFormat="1" applyFont="1" applyFill="1" applyBorder="1" applyAlignment="1" applyProtection="1">
      <alignment vertical="top"/>
      <protection locked="0"/>
    </xf>
    <xf numFmtId="165" fontId="3" fillId="30" borderId="75" xfId="62" applyNumberFormat="1" applyFont="1" applyFill="1" applyBorder="1" applyAlignment="1" applyProtection="1">
      <alignment vertical="top"/>
      <protection locked="0"/>
    </xf>
    <xf numFmtId="169" fontId="3" fillId="27" borderId="23" xfId="62" applyNumberFormat="1" applyFont="1" applyFill="1" applyBorder="1" applyAlignment="1" applyProtection="1">
      <alignment vertical="top"/>
      <protection locked="0"/>
    </xf>
    <xf numFmtId="169" fontId="3" fillId="30" borderId="75" xfId="62" applyNumberFormat="1" applyFont="1" applyFill="1" applyBorder="1" applyAlignment="1" applyProtection="1">
      <alignment vertical="top"/>
      <protection locked="0"/>
    </xf>
    <xf numFmtId="169" fontId="3" fillId="30" borderId="0" xfId="62" applyNumberFormat="1" applyFont="1" applyFill="1" applyBorder="1" applyAlignment="1" applyProtection="1">
      <alignment vertical="top"/>
      <protection locked="0"/>
    </xf>
    <xf numFmtId="165" fontId="3" fillId="27" borderId="75" xfId="62" applyNumberFormat="1" applyFont="1" applyFill="1" applyBorder="1" applyAlignment="1" applyProtection="1">
      <alignment vertical="top"/>
      <protection locked="0"/>
    </xf>
    <xf numFmtId="165" fontId="3" fillId="27" borderId="0" xfId="62" applyNumberFormat="1" applyFont="1" applyFill="1" applyBorder="1" applyAlignment="1" applyProtection="1">
      <alignment vertical="top"/>
      <protection locked="0"/>
    </xf>
    <xf numFmtId="165" fontId="3" fillId="0" borderId="23" xfId="62" applyNumberFormat="1" applyFont="1" applyFill="1" applyBorder="1" applyAlignment="1" applyProtection="1">
      <alignment vertical="top"/>
      <protection locked="0"/>
    </xf>
    <xf numFmtId="165" fontId="3" fillId="0" borderId="80" xfId="62" applyNumberFormat="1" applyFont="1" applyFill="1" applyBorder="1" applyAlignment="1" applyProtection="1">
      <alignment vertical="top"/>
      <protection locked="0"/>
    </xf>
    <xf numFmtId="165" fontId="3" fillId="30" borderId="23" xfId="62" applyNumberFormat="1" applyFont="1" applyFill="1" applyBorder="1" applyAlignment="1" applyProtection="1">
      <alignment vertical="top"/>
      <protection locked="0"/>
    </xf>
    <xf numFmtId="166" fontId="3" fillId="26" borderId="27" xfId="81" applyNumberFormat="1" applyFont="1" applyFill="1" applyBorder="1" applyAlignment="1" applyProtection="1">
      <alignment vertical="top"/>
      <protection locked="0"/>
    </xf>
    <xf numFmtId="166" fontId="3" fillId="26" borderId="23" xfId="81" applyNumberFormat="1" applyFont="1" applyFill="1" applyBorder="1" applyAlignment="1" applyProtection="1">
      <alignment vertical="top"/>
      <protection locked="0"/>
    </xf>
    <xf numFmtId="166" fontId="3" fillId="26" borderId="80" xfId="81" applyNumberFormat="1" applyFont="1" applyFill="1" applyBorder="1" applyAlignment="1" applyProtection="1">
      <alignment vertical="top"/>
      <protection locked="0"/>
    </xf>
    <xf numFmtId="166" fontId="3" fillId="26" borderId="50" xfId="81" applyNumberFormat="1" applyFont="1" applyFill="1" applyBorder="1" applyAlignment="1" applyProtection="1">
      <alignment vertical="top"/>
      <protection locked="0"/>
    </xf>
    <xf numFmtId="164" fontId="3" fillId="27" borderId="43" xfId="81" applyNumberFormat="1" applyFont="1" applyFill="1" applyBorder="1" applyAlignment="1" applyProtection="1">
      <alignment horizontal="center" vertical="top"/>
      <protection locked="0"/>
    </xf>
    <xf numFmtId="164" fontId="3" fillId="27" borderId="23" xfId="81" applyNumberFormat="1" applyFont="1" applyFill="1" applyBorder="1" applyAlignment="1" applyProtection="1">
      <alignment horizontal="center" vertical="top"/>
      <protection locked="0"/>
    </xf>
    <xf numFmtId="164" fontId="3" fillId="30" borderId="75" xfId="81" applyNumberFormat="1" applyFont="1" applyFill="1" applyBorder="1" applyAlignment="1" applyProtection="1">
      <alignment horizontal="center" vertical="top"/>
      <protection locked="0"/>
    </xf>
    <xf numFmtId="164" fontId="3" fillId="27" borderId="75" xfId="81" applyNumberFormat="1" applyFont="1" applyFill="1" applyBorder="1" applyAlignment="1" applyProtection="1">
      <alignment horizontal="center" vertical="top"/>
      <protection locked="0"/>
    </xf>
    <xf numFmtId="164" fontId="3" fillId="27" borderId="0" xfId="81" applyNumberFormat="1" applyFont="1" applyFill="1" applyBorder="1" applyAlignment="1" applyProtection="1">
      <alignment horizontal="center" vertical="top"/>
      <protection locked="0"/>
    </xf>
    <xf numFmtId="164" fontId="3" fillId="27" borderId="50" xfId="81" applyNumberFormat="1" applyFont="1" applyFill="1" applyBorder="1" applyAlignment="1" applyProtection="1">
      <alignment horizontal="center" vertical="top"/>
      <protection locked="0"/>
    </xf>
    <xf numFmtId="164" fontId="3" fillId="27" borderId="80" xfId="81" applyNumberFormat="1" applyFont="1" applyFill="1" applyBorder="1" applyAlignment="1" applyProtection="1">
      <alignment horizontal="center" vertical="top"/>
      <protection locked="0"/>
    </xf>
    <xf numFmtId="164" fontId="3" fillId="30" borderId="80" xfId="81" applyNumberFormat="1" applyFont="1" applyFill="1" applyBorder="1" applyAlignment="1" applyProtection="1">
      <alignment horizontal="center" vertical="top"/>
      <protection locked="0"/>
    </xf>
    <xf numFmtId="164" fontId="3" fillId="30" borderId="50" xfId="81" applyNumberFormat="1" applyFont="1" applyFill="1" applyBorder="1" applyAlignment="1" applyProtection="1">
      <alignment horizontal="center" vertical="top"/>
      <protection locked="0"/>
    </xf>
    <xf numFmtId="165" fontId="3" fillId="27" borderId="27" xfId="81" applyNumberFormat="1" applyFont="1" applyFill="1" applyBorder="1" applyAlignment="1" applyProtection="1">
      <alignment vertical="top"/>
      <protection locked="0"/>
    </xf>
    <xf numFmtId="165" fontId="3" fillId="27" borderId="23" xfId="81" applyNumberFormat="1" applyFont="1" applyFill="1" applyBorder="1" applyAlignment="1" applyProtection="1">
      <alignment vertical="top"/>
      <protection locked="0"/>
    </xf>
    <xf numFmtId="164" fontId="3" fillId="27" borderId="27" xfId="81" applyNumberFormat="1" applyFont="1" applyFill="1" applyBorder="1" applyAlignment="1" applyProtection="1">
      <alignment horizontal="center" vertical="top"/>
      <protection locked="0"/>
    </xf>
    <xf numFmtId="166" fontId="3" fillId="27" borderId="43" xfId="81" applyNumberFormat="1" applyFont="1" applyFill="1" applyBorder="1" applyAlignment="1" applyProtection="1">
      <alignment horizontal="center" vertical="top"/>
      <protection locked="0"/>
    </xf>
    <xf numFmtId="166" fontId="3" fillId="0" borderId="23" xfId="81" applyNumberFormat="1" applyFont="1" applyFill="1" applyBorder="1" applyAlignment="1" applyProtection="1">
      <alignment horizontal="center" vertical="top"/>
      <protection locked="0"/>
    </xf>
    <xf numFmtId="165" fontId="3" fillId="27" borderId="43" xfId="81" applyNumberFormat="1" applyFont="1" applyFill="1" applyBorder="1" applyAlignment="1" applyProtection="1">
      <alignment vertical="top"/>
      <protection locked="0"/>
    </xf>
    <xf numFmtId="165" fontId="3" fillId="30" borderId="75" xfId="81" applyNumberFormat="1" applyFont="1" applyFill="1" applyBorder="1" applyAlignment="1" applyProtection="1">
      <alignment vertical="top"/>
      <protection locked="0"/>
    </xf>
    <xf numFmtId="165" fontId="3" fillId="30" borderId="0" xfId="81" applyNumberFormat="1" applyFont="1" applyFill="1" applyBorder="1" applyAlignment="1" applyProtection="1">
      <alignment vertical="top"/>
      <protection locked="0"/>
    </xf>
    <xf numFmtId="169" fontId="3" fillId="27" borderId="43" xfId="81" applyNumberFormat="1" applyFont="1" applyFill="1" applyBorder="1" applyAlignment="1" applyProtection="1">
      <alignment vertical="top"/>
      <protection locked="0"/>
    </xf>
    <xf numFmtId="169" fontId="3" fillId="27" borderId="23" xfId="81" applyNumberFormat="1" applyFont="1" applyFill="1" applyBorder="1" applyAlignment="1" applyProtection="1">
      <alignment vertical="top"/>
      <protection locked="0"/>
    </xf>
    <xf numFmtId="169" fontId="3" fillId="30" borderId="75" xfId="62" applyNumberFormat="1" applyFont="1" applyFill="1" applyBorder="1" applyAlignment="1" applyProtection="1">
      <alignment horizontal="center" vertical="top"/>
      <protection locked="0"/>
    </xf>
    <xf numFmtId="165" fontId="3" fillId="27" borderId="75" xfId="81" applyNumberFormat="1" applyFont="1" applyFill="1" applyBorder="1" applyAlignment="1" applyProtection="1">
      <alignment vertical="top"/>
      <protection locked="0"/>
    </xf>
    <xf numFmtId="49" fontId="3" fillId="28" borderId="20" xfId="0" applyNumberFormat="1" applyFont="1" applyFill="1" applyBorder="1" applyAlignment="1">
      <alignment horizontal="right" vertical="top"/>
    </xf>
    <xf numFmtId="49" fontId="3" fillId="28" borderId="33" xfId="125" applyNumberFormat="1" applyFont="1" applyFill="1" applyBorder="1" applyAlignment="1">
      <alignment horizontal="right"/>
    </xf>
    <xf numFmtId="0" fontId="3" fillId="28" borderId="70" xfId="0" applyNumberFormat="1" applyFont="1" applyFill="1" applyBorder="1" applyAlignment="1">
      <alignment vertical="top"/>
    </xf>
    <xf numFmtId="0" fontId="3" fillId="28" borderId="49" xfId="125" applyFont="1" applyFill="1" applyBorder="1" applyAlignment="1">
      <alignment horizontal="left" vertical="top" indent="1"/>
    </xf>
    <xf numFmtId="0" fontId="3" fillId="28" borderId="31" xfId="126" applyNumberFormat="1" applyFont="1" applyFill="1" applyBorder="1" applyAlignment="1">
      <alignment horizontal="center" vertical="top"/>
    </xf>
    <xf numFmtId="0" fontId="3" fillId="28" borderId="39" xfId="126" applyNumberFormat="1" applyFont="1" applyFill="1" applyBorder="1" applyAlignment="1">
      <alignment horizontal="center" vertical="top"/>
    </xf>
    <xf numFmtId="0" fontId="3" fillId="28" borderId="32" xfId="126" applyNumberFormat="1" applyFont="1" applyFill="1" applyBorder="1" applyAlignment="1">
      <alignment horizontal="center" vertical="top"/>
    </xf>
    <xf numFmtId="0" fontId="3" fillId="28" borderId="82" xfId="126" applyNumberFormat="1" applyFont="1" applyFill="1" applyBorder="1" applyAlignment="1">
      <alignment horizontal="center" vertical="top"/>
    </xf>
    <xf numFmtId="49" fontId="3" fillId="28" borderId="20" xfId="125" applyNumberFormat="1" applyFont="1" applyFill="1" applyBorder="1" applyAlignment="1">
      <alignment horizontal="right"/>
    </xf>
    <xf numFmtId="0" fontId="3" fillId="28" borderId="24" xfId="0" applyNumberFormat="1" applyFont="1" applyFill="1" applyBorder="1" applyAlignment="1">
      <alignment vertical="top"/>
    </xf>
    <xf numFmtId="0" fontId="3" fillId="28" borderId="0" xfId="125" applyFont="1" applyFill="1" applyBorder="1" applyAlignment="1">
      <alignment horizontal="left" vertical="top" indent="1"/>
    </xf>
    <xf numFmtId="0" fontId="3" fillId="28" borderId="58" xfId="81" applyNumberFormat="1" applyFont="1" applyFill="1" applyBorder="1" applyAlignment="1">
      <alignment vertical="top"/>
    </xf>
    <xf numFmtId="0" fontId="3" fillId="28" borderId="59" xfId="81" applyNumberFormat="1" applyFont="1" applyFill="1" applyBorder="1" applyAlignment="1">
      <alignment vertical="top"/>
    </xf>
    <xf numFmtId="0" fontId="3" fillId="28" borderId="23" xfId="81" applyNumberFormat="1" applyFont="1" applyFill="1" applyBorder="1" applyAlignment="1">
      <alignment vertical="top"/>
    </xf>
    <xf numFmtId="0" fontId="3" fillId="28" borderId="75" xfId="81" applyNumberFormat="1" applyFont="1" applyFill="1" applyBorder="1" applyAlignment="1">
      <alignment vertical="top"/>
    </xf>
    <xf numFmtId="0" fontId="3" fillId="28" borderId="0" xfId="81" applyNumberFormat="1" applyFont="1" applyFill="1" applyBorder="1" applyAlignment="1">
      <alignment vertical="top"/>
    </xf>
    <xf numFmtId="0" fontId="3" fillId="28" borderId="84" xfId="91" applyNumberFormat="1" applyFont="1" applyFill="1" applyBorder="1" applyAlignment="1">
      <alignment vertical="top"/>
    </xf>
    <xf numFmtId="0" fontId="3" fillId="28" borderId="69" xfId="91" applyNumberFormat="1" applyFont="1" applyFill="1" applyBorder="1" applyAlignment="1">
      <alignment vertical="top"/>
    </xf>
    <xf numFmtId="0" fontId="3" fillId="28" borderId="47" xfId="91" applyNumberFormat="1" applyFont="1" applyFill="1" applyBorder="1" applyAlignment="1">
      <alignment vertical="top"/>
    </xf>
    <xf numFmtId="0" fontId="3" fillId="28" borderId="99" xfId="91" applyNumberFormat="1" applyFont="1" applyFill="1" applyBorder="1" applyAlignment="1">
      <alignment vertical="top"/>
    </xf>
    <xf numFmtId="0" fontId="3" fillId="28" borderId="83" xfId="81" applyNumberFormat="1" applyFont="1" applyFill="1" applyBorder="1" applyAlignment="1">
      <alignment vertical="top"/>
    </xf>
    <xf numFmtId="0" fontId="3" fillId="28" borderId="57" xfId="81" applyNumberFormat="1" applyFont="1" applyFill="1" applyBorder="1" applyAlignment="1">
      <alignment vertical="top"/>
    </xf>
    <xf numFmtId="0" fontId="3" fillId="28" borderId="48" xfId="91" applyNumberFormat="1" applyFont="1" applyFill="1" applyBorder="1" applyAlignment="1">
      <alignment vertical="top"/>
    </xf>
    <xf numFmtId="0" fontId="3" fillId="28" borderId="35" xfId="91" applyNumberFormat="1" applyFont="1" applyFill="1" applyBorder="1" applyAlignment="1">
      <alignment vertical="top"/>
    </xf>
    <xf numFmtId="164" fontId="3" fillId="28" borderId="43" xfId="81" applyNumberFormat="1" applyFont="1" applyFill="1" applyBorder="1" applyAlignment="1" applyProtection="1">
      <alignment horizontal="center"/>
    </xf>
    <xf numFmtId="164" fontId="3" fillId="28" borderId="23" xfId="81" applyNumberFormat="1" applyFont="1" applyFill="1" applyBorder="1" applyAlignment="1" applyProtection="1">
      <alignment horizontal="center"/>
    </xf>
    <xf numFmtId="164" fontId="3" fillId="28" borderId="23" xfId="62" applyNumberFormat="1" applyFont="1" applyFill="1" applyBorder="1" applyAlignment="1" applyProtection="1">
      <alignment horizontal="center" vertical="top"/>
    </xf>
    <xf numFmtId="164" fontId="3" fillId="28" borderId="75" xfId="62" applyNumberFormat="1" applyFont="1" applyFill="1" applyBorder="1" applyAlignment="1" applyProtection="1">
      <alignment horizontal="center" vertical="top"/>
    </xf>
    <xf numFmtId="164" fontId="3" fillId="28" borderId="27" xfId="81" applyNumberFormat="1" applyFont="1" applyFill="1" applyBorder="1" applyAlignment="1" applyProtection="1">
      <alignment horizontal="center"/>
    </xf>
    <xf numFmtId="164" fontId="3" fillId="28" borderId="0" xfId="62" applyNumberFormat="1" applyFont="1" applyFill="1" applyBorder="1" applyAlignment="1" applyProtection="1">
      <alignment horizontal="center" vertical="top"/>
    </xf>
    <xf numFmtId="49" fontId="3" fillId="28" borderId="24" xfId="125" applyNumberFormat="1" applyFont="1" applyFill="1" applyBorder="1" applyAlignment="1">
      <alignment vertical="top"/>
    </xf>
    <xf numFmtId="0" fontId="3" fillId="28" borderId="24" xfId="0" applyFont="1" applyFill="1" applyBorder="1" applyAlignment="1">
      <alignment vertical="top"/>
    </xf>
    <xf numFmtId="0" fontId="3" fillId="28" borderId="83" xfId="91" applyNumberFormat="1" applyFont="1" applyFill="1" applyBorder="1" applyAlignment="1">
      <alignment vertical="top"/>
    </xf>
    <xf numFmtId="0" fontId="3" fillId="28" borderId="76" xfId="81" applyNumberFormat="1" applyFont="1" applyFill="1" applyBorder="1" applyAlignment="1">
      <alignment vertical="top"/>
    </xf>
    <xf numFmtId="0" fontId="3" fillId="28" borderId="51" xfId="81" applyNumberFormat="1" applyFont="1" applyFill="1" applyBorder="1" applyAlignment="1">
      <alignment vertical="top"/>
    </xf>
    <xf numFmtId="0" fontId="3" fillId="28" borderId="43" xfId="91" applyNumberFormat="1" applyFont="1" applyFill="1" applyBorder="1" applyAlignment="1">
      <alignment vertical="top"/>
    </xf>
    <xf numFmtId="0" fontId="3" fillId="28" borderId="75" xfId="91" applyNumberFormat="1" applyFont="1" applyFill="1" applyBorder="1" applyAlignment="1">
      <alignment vertical="top"/>
    </xf>
    <xf numFmtId="0" fontId="3" fillId="28" borderId="0" xfId="91" applyNumberFormat="1" applyFont="1" applyFill="1" applyBorder="1" applyAlignment="1">
      <alignment vertical="top"/>
    </xf>
    <xf numFmtId="49" fontId="3" fillId="28" borderId="13" xfId="125" applyNumberFormat="1" applyFont="1" applyFill="1" applyBorder="1" applyAlignment="1">
      <alignment horizontal="right"/>
    </xf>
    <xf numFmtId="0" fontId="3" fillId="28" borderId="11" xfId="0" applyFont="1" applyFill="1" applyBorder="1" applyAlignment="1">
      <alignment vertical="top"/>
    </xf>
    <xf numFmtId="0" fontId="3" fillId="28" borderId="51" xfId="125" applyFont="1" applyFill="1" applyBorder="1" applyAlignment="1">
      <alignment horizontal="left" vertical="top" indent="1"/>
    </xf>
    <xf numFmtId="0" fontId="3" fillId="28" borderId="45" xfId="91" applyNumberFormat="1" applyFont="1" applyFill="1" applyBorder="1" applyAlignment="1">
      <alignment vertical="top"/>
    </xf>
    <xf numFmtId="0" fontId="3" fillId="28" borderId="46" xfId="91" applyNumberFormat="1" applyFont="1" applyFill="1" applyBorder="1" applyAlignment="1">
      <alignment vertical="top"/>
    </xf>
    <xf numFmtId="0" fontId="3" fillId="28" borderId="94" xfId="91" applyNumberFormat="1" applyFont="1" applyFill="1" applyBorder="1" applyAlignment="1">
      <alignment vertical="top"/>
    </xf>
    <xf numFmtId="0" fontId="3" fillId="28" borderId="52" xfId="91" applyNumberFormat="1" applyFont="1" applyFill="1" applyBorder="1" applyAlignment="1">
      <alignment vertical="top"/>
    </xf>
    <xf numFmtId="0" fontId="3" fillId="28" borderId="36" xfId="91" applyNumberFormat="1" applyFont="1" applyFill="1" applyBorder="1" applyAlignment="1">
      <alignment vertical="top"/>
    </xf>
    <xf numFmtId="0" fontId="3" fillId="28" borderId="37" xfId="91" applyNumberFormat="1" applyFont="1" applyFill="1" applyBorder="1" applyAlignment="1">
      <alignment vertical="top"/>
    </xf>
    <xf numFmtId="0" fontId="3" fillId="28" borderId="53" xfId="91" applyNumberFormat="1" applyFont="1" applyFill="1" applyBorder="1" applyAlignment="1">
      <alignment vertical="top"/>
    </xf>
    <xf numFmtId="0" fontId="3" fillId="28" borderId="18" xfId="0" applyFont="1" applyFill="1" applyBorder="1" applyAlignment="1">
      <alignment horizontal="left" vertical="top" wrapText="1" indent="1"/>
    </xf>
    <xf numFmtId="164" fontId="3" fillId="28" borderId="31" xfId="81" applyNumberFormat="1" applyFont="1" applyFill="1" applyBorder="1" applyAlignment="1">
      <alignment horizontal="center" vertical="top"/>
    </xf>
    <xf numFmtId="164" fontId="3" fillId="28" borderId="39" xfId="81" applyNumberFormat="1" applyFont="1" applyFill="1" applyBorder="1" applyAlignment="1">
      <alignment horizontal="center" vertical="top"/>
    </xf>
    <xf numFmtId="164" fontId="3" fillId="28" borderId="77" xfId="81" applyNumberFormat="1" applyFont="1" applyFill="1" applyBorder="1" applyAlignment="1">
      <alignment horizontal="center" vertical="top"/>
    </xf>
    <xf numFmtId="164" fontId="3" fillId="28" borderId="49" xfId="81" applyNumberFormat="1" applyFont="1" applyFill="1" applyBorder="1" applyAlignment="1">
      <alignment horizontal="center" vertical="top"/>
    </xf>
    <xf numFmtId="164" fontId="3" fillId="28" borderId="33" xfId="81" applyNumberFormat="1" applyFont="1" applyFill="1" applyBorder="1" applyAlignment="1">
      <alignment horizontal="center" vertical="top"/>
    </xf>
    <xf numFmtId="164" fontId="3" fillId="28" borderId="28" xfId="81" applyNumberFormat="1" applyFont="1" applyFill="1" applyBorder="1" applyAlignment="1">
      <alignment horizontal="center" vertical="top"/>
    </xf>
    <xf numFmtId="164" fontId="3" fillId="28" borderId="34" xfId="81" applyNumberFormat="1" applyFont="1" applyFill="1" applyBorder="1" applyAlignment="1">
      <alignment horizontal="center" vertical="top"/>
    </xf>
    <xf numFmtId="2" fontId="3" fillId="28" borderId="24" xfId="0" applyNumberFormat="1" applyFont="1" applyFill="1" applyBorder="1" applyAlignment="1">
      <alignment horizontal="right" vertical="top"/>
    </xf>
    <xf numFmtId="0" fontId="3" fillId="28" borderId="18" xfId="0" applyFont="1" applyFill="1" applyBorder="1" applyAlignment="1">
      <alignment horizontal="left" vertical="top" indent="1"/>
    </xf>
    <xf numFmtId="164" fontId="3" fillId="28" borderId="58" xfId="81" applyNumberFormat="1" applyFont="1" applyFill="1" applyBorder="1" applyAlignment="1">
      <alignment horizontal="center" vertical="top"/>
    </xf>
    <xf numFmtId="164" fontId="3" fillId="28" borderId="59" xfId="81" applyNumberFormat="1" applyFont="1" applyFill="1" applyBorder="1" applyAlignment="1">
      <alignment horizontal="center" vertical="top"/>
    </xf>
    <xf numFmtId="164" fontId="3" fillId="28" borderId="57" xfId="81" applyNumberFormat="1" applyFont="1" applyFill="1" applyBorder="1" applyAlignment="1">
      <alignment horizontal="center" vertical="top"/>
    </xf>
    <xf numFmtId="164" fontId="3" fillId="28" borderId="51" xfId="81" applyNumberFormat="1" applyFont="1" applyFill="1" applyBorder="1" applyAlignment="1">
      <alignment horizontal="center" vertical="top"/>
    </xf>
    <xf numFmtId="164" fontId="3" fillId="28" borderId="81" xfId="81" applyNumberFormat="1" applyFont="1" applyFill="1" applyBorder="1" applyAlignment="1">
      <alignment horizontal="center" vertical="top"/>
    </xf>
    <xf numFmtId="164" fontId="3" fillId="28" borderId="73" xfId="81" applyNumberFormat="1" applyFont="1" applyFill="1" applyBorder="1" applyAlignment="1">
      <alignment horizontal="center" vertical="top"/>
    </xf>
    <xf numFmtId="164" fontId="3" fillId="28" borderId="20" xfId="81" applyNumberFormat="1" applyFont="1" applyFill="1" applyBorder="1" applyAlignment="1">
      <alignment vertical="top"/>
    </xf>
    <xf numFmtId="164" fontId="3" fillId="28" borderId="18" xfId="81" applyNumberFormat="1" applyFont="1" applyFill="1" applyBorder="1" applyAlignment="1">
      <alignment vertical="top"/>
    </xf>
    <xf numFmtId="164" fontId="3" fillId="28" borderId="26" xfId="81" applyNumberFormat="1" applyFont="1" applyFill="1" applyBorder="1" applyAlignment="1">
      <alignment horizontal="center" vertical="top"/>
    </xf>
    <xf numFmtId="164" fontId="3" fillId="28" borderId="27" xfId="81" applyNumberFormat="1" applyFont="1" applyFill="1" applyBorder="1" applyAlignment="1">
      <alignment horizontal="center" vertical="top"/>
    </xf>
    <xf numFmtId="164" fontId="3" fillId="28" borderId="38" xfId="81" applyNumberFormat="1" applyFont="1" applyFill="1" applyBorder="1" applyAlignment="1">
      <alignment horizontal="center" vertical="top"/>
    </xf>
    <xf numFmtId="164" fontId="3" fillId="28" borderId="75" xfId="81" applyNumberFormat="1" applyFont="1" applyFill="1" applyBorder="1" applyAlignment="1">
      <alignment horizontal="center" vertical="top"/>
    </xf>
    <xf numFmtId="164" fontId="3" fillId="28" borderId="0" xfId="81" applyNumberFormat="1" applyFont="1" applyFill="1" applyBorder="1" applyAlignment="1">
      <alignment horizontal="center" vertical="top"/>
    </xf>
    <xf numFmtId="164" fontId="3" fillId="28" borderId="13" xfId="81" applyNumberFormat="1" applyFont="1" applyFill="1" applyBorder="1" applyAlignment="1">
      <alignment horizontal="center" vertical="top"/>
    </xf>
    <xf numFmtId="164" fontId="3" fillId="28" borderId="14" xfId="81" applyNumberFormat="1" applyFont="1" applyFill="1" applyBorder="1" applyAlignment="1">
      <alignment horizontal="center" vertical="top"/>
    </xf>
    <xf numFmtId="0" fontId="3" fillId="28" borderId="0" xfId="0" applyFont="1" applyFill="1"/>
    <xf numFmtId="164" fontId="3" fillId="28" borderId="13" xfId="81" applyNumberFormat="1" applyFont="1" applyFill="1" applyBorder="1" applyAlignment="1">
      <alignment vertical="top"/>
    </xf>
    <xf numFmtId="164" fontId="3" fillId="28" borderId="14" xfId="81" applyNumberFormat="1" applyFont="1" applyFill="1" applyBorder="1" applyAlignment="1">
      <alignment vertical="top"/>
    </xf>
    <xf numFmtId="164" fontId="3" fillId="28" borderId="23" xfId="81" applyNumberFormat="1" applyFont="1" applyFill="1" applyBorder="1" applyAlignment="1">
      <alignment horizontal="center" vertical="top"/>
    </xf>
    <xf numFmtId="164" fontId="3" fillId="28" borderId="80" xfId="81" applyNumberFormat="1" applyFont="1" applyFill="1" applyBorder="1" applyAlignment="1">
      <alignment horizontal="center" vertical="top"/>
    </xf>
    <xf numFmtId="164" fontId="3" fillId="28" borderId="50" xfId="81" applyNumberFormat="1" applyFont="1" applyFill="1" applyBorder="1" applyAlignment="1">
      <alignment horizontal="center" vertical="top"/>
    </xf>
    <xf numFmtId="164" fontId="3" fillId="28" borderId="27" xfId="81" applyNumberFormat="1" applyFont="1" applyFill="1" applyBorder="1" applyAlignment="1" applyProtection="1">
      <alignment horizontal="center" vertical="top"/>
    </xf>
    <xf numFmtId="164" fontId="3" fillId="28" borderId="23" xfId="81" applyNumberFormat="1" applyFont="1" applyFill="1" applyBorder="1" applyAlignment="1" applyProtection="1">
      <alignment horizontal="center" vertical="top"/>
    </xf>
    <xf numFmtId="164" fontId="3" fillId="28" borderId="80" xfId="81" applyNumberFormat="1" applyFont="1" applyFill="1" applyBorder="1" applyAlignment="1" applyProtection="1">
      <alignment horizontal="center" vertical="top"/>
    </xf>
    <xf numFmtId="164" fontId="3" fillId="28" borderId="38" xfId="81" applyNumberFormat="1" applyFont="1" applyFill="1" applyBorder="1" applyAlignment="1" applyProtection="1">
      <alignment horizontal="center" vertical="top"/>
    </xf>
    <xf numFmtId="164" fontId="3" fillId="28" borderId="50" xfId="81" applyNumberFormat="1" applyFont="1" applyFill="1" applyBorder="1" applyAlignment="1" applyProtection="1">
      <alignment horizontal="center" vertical="top"/>
    </xf>
    <xf numFmtId="164" fontId="3" fillId="28" borderId="13" xfId="81" applyNumberFormat="1" applyFont="1" applyFill="1" applyBorder="1" applyAlignment="1" applyProtection="1">
      <alignment horizontal="center" vertical="top"/>
    </xf>
    <xf numFmtId="164" fontId="3" fillId="28" borderId="14" xfId="81" applyNumberFormat="1" applyFont="1" applyFill="1" applyBorder="1" applyAlignment="1" applyProtection="1">
      <alignment horizontal="center" vertical="top"/>
    </xf>
    <xf numFmtId="164" fontId="3" fillId="28" borderId="26" xfId="81" applyNumberFormat="1" applyFont="1" applyFill="1" applyBorder="1" applyAlignment="1" applyProtection="1">
      <alignment horizontal="center" vertical="top"/>
    </xf>
    <xf numFmtId="164" fontId="3" fillId="28" borderId="0" xfId="81" applyNumberFormat="1" applyFont="1" applyFill="1" applyBorder="1" applyAlignment="1" applyProtection="1">
      <alignment horizontal="center" vertical="top"/>
    </xf>
    <xf numFmtId="0" fontId="3" fillId="28" borderId="16" xfId="0" applyFont="1" applyFill="1" applyBorder="1" applyAlignment="1">
      <alignment vertical="top"/>
    </xf>
    <xf numFmtId="0" fontId="3" fillId="28" borderId="45" xfId="0" applyFont="1" applyFill="1" applyBorder="1" applyAlignment="1">
      <alignment horizontal="center" vertical="top"/>
    </xf>
    <xf numFmtId="0" fontId="3" fillId="28" borderId="46" xfId="0" applyFont="1" applyFill="1" applyBorder="1" applyAlignment="1">
      <alignment horizontal="center" vertical="top"/>
    </xf>
    <xf numFmtId="0" fontId="3" fillId="28" borderId="47" xfId="0" applyFont="1" applyFill="1" applyBorder="1" applyAlignment="1">
      <alignment horizontal="center" vertical="top"/>
    </xf>
    <xf numFmtId="0" fontId="3" fillId="28" borderId="35" xfId="0" applyFont="1" applyFill="1" applyBorder="1" applyAlignment="1">
      <alignment horizontal="center" vertical="top"/>
    </xf>
    <xf numFmtId="0" fontId="3" fillId="28" borderId="99" xfId="0" applyFont="1" applyFill="1" applyBorder="1" applyAlignment="1">
      <alignment horizontal="center" vertical="top"/>
    </xf>
    <xf numFmtId="0" fontId="3" fillId="28" borderId="69" xfId="0" applyFont="1" applyFill="1" applyBorder="1" applyAlignment="1">
      <alignment horizontal="center" vertical="top"/>
    </xf>
    <xf numFmtId="0" fontId="3" fillId="28" borderId="12" xfId="0" applyFont="1" applyFill="1" applyBorder="1" applyAlignment="1" applyProtection="1">
      <alignment vertical="top"/>
    </xf>
    <xf numFmtId="0" fontId="3" fillId="28" borderId="16" xfId="0" applyNumberFormat="1" applyFont="1" applyFill="1" applyBorder="1" applyAlignment="1" applyProtection="1">
      <alignment vertical="top"/>
    </xf>
    <xf numFmtId="0" fontId="3" fillId="28" borderId="17" xfId="0" applyFont="1" applyFill="1" applyBorder="1" applyAlignment="1" applyProtection="1">
      <alignment horizontal="left" vertical="top" indent="1"/>
    </xf>
    <xf numFmtId="0" fontId="3" fillId="28" borderId="16" xfId="0" applyFont="1" applyFill="1" applyBorder="1" applyAlignment="1" applyProtection="1">
      <alignment vertical="top"/>
    </xf>
    <xf numFmtId="0" fontId="3" fillId="28" borderId="20" xfId="0" applyFont="1" applyFill="1" applyBorder="1" applyAlignment="1" applyProtection="1">
      <alignment vertical="top"/>
    </xf>
    <xf numFmtId="0" fontId="3" fillId="28" borderId="24" xfId="0" applyNumberFormat="1" applyFont="1" applyFill="1" applyBorder="1" applyAlignment="1" applyProtection="1">
      <alignment vertical="top"/>
    </xf>
    <xf numFmtId="0" fontId="3" fillId="28" borderId="18" xfId="0" applyFont="1" applyFill="1" applyBorder="1" applyAlignment="1" applyProtection="1">
      <alignment horizontal="left" vertical="top" indent="1"/>
    </xf>
    <xf numFmtId="0" fontId="3" fillId="28" borderId="24" xfId="0" applyFont="1" applyFill="1" applyBorder="1" applyAlignment="1" applyProtection="1">
      <alignment vertical="top"/>
    </xf>
    <xf numFmtId="0" fontId="3" fillId="28" borderId="11" xfId="0" applyFont="1" applyFill="1" applyBorder="1" applyAlignment="1" applyProtection="1">
      <alignment vertical="top"/>
    </xf>
    <xf numFmtId="0" fontId="3" fillId="28" borderId="11" xfId="0" applyNumberFormat="1" applyFont="1" applyFill="1" applyBorder="1" applyAlignment="1" applyProtection="1">
      <alignment vertical="top"/>
    </xf>
    <xf numFmtId="0" fontId="3" fillId="28" borderId="14" xfId="0" applyFont="1" applyFill="1" applyBorder="1" applyAlignment="1" applyProtection="1">
      <alignment horizontal="left" vertical="top" indent="1"/>
    </xf>
    <xf numFmtId="164" fontId="3" fillId="28" borderId="27" xfId="81" applyNumberFormat="1" applyFont="1" applyFill="1" applyBorder="1" applyAlignment="1" applyProtection="1">
      <alignment vertical="top"/>
    </xf>
    <xf numFmtId="164" fontId="3" fillId="28" borderId="23" xfId="81" applyNumberFormat="1" applyFont="1" applyFill="1" applyBorder="1" applyAlignment="1">
      <alignment vertical="top"/>
    </xf>
    <xf numFmtId="164" fontId="3" fillId="28" borderId="80" xfId="81" applyNumberFormat="1" applyFont="1" applyFill="1" applyBorder="1" applyAlignment="1">
      <alignment vertical="top"/>
    </xf>
    <xf numFmtId="164" fontId="3" fillId="28" borderId="27" xfId="81" applyNumberFormat="1" applyFont="1" applyFill="1" applyBorder="1" applyAlignment="1">
      <alignment vertical="top"/>
    </xf>
    <xf numFmtId="164" fontId="3" fillId="28" borderId="50" xfId="81" applyNumberFormat="1" applyFont="1" applyFill="1" applyBorder="1" applyAlignment="1">
      <alignment vertical="top"/>
    </xf>
    <xf numFmtId="164" fontId="3" fillId="28" borderId="29" xfId="81" applyNumberFormat="1" applyFont="1" applyFill="1" applyBorder="1" applyAlignment="1">
      <alignment vertical="top"/>
    </xf>
    <xf numFmtId="164" fontId="3" fillId="28" borderId="0" xfId="81" applyNumberFormat="1" applyFont="1" applyFill="1" applyBorder="1" applyAlignment="1">
      <alignment vertical="top"/>
    </xf>
    <xf numFmtId="164" fontId="3" fillId="28" borderId="75" xfId="81" applyNumberFormat="1" applyFont="1" applyFill="1" applyBorder="1" applyAlignment="1">
      <alignment vertical="top"/>
    </xf>
    <xf numFmtId="164" fontId="3" fillId="28" borderId="11" xfId="81" applyNumberFormat="1" applyFont="1" applyFill="1" applyBorder="1" applyAlignment="1" applyProtection="1">
      <alignment vertical="top"/>
    </xf>
    <xf numFmtId="164" fontId="3" fillId="28" borderId="96" xfId="81" applyNumberFormat="1" applyFont="1" applyFill="1" applyBorder="1" applyAlignment="1">
      <alignment vertical="top"/>
    </xf>
    <xf numFmtId="164" fontId="3" fillId="28" borderId="35" xfId="81" applyNumberFormat="1" applyFont="1" applyFill="1" applyBorder="1" applyAlignment="1">
      <alignment vertical="top"/>
    </xf>
    <xf numFmtId="164" fontId="3" fillId="28" borderId="12" xfId="81" applyNumberFormat="1" applyFont="1" applyFill="1" applyBorder="1" applyAlignment="1">
      <alignment vertical="top"/>
    </xf>
    <xf numFmtId="164" fontId="3" fillId="28" borderId="48" xfId="81" applyNumberFormat="1" applyFont="1" applyFill="1" applyBorder="1" applyAlignment="1">
      <alignment vertical="top"/>
    </xf>
    <xf numFmtId="164" fontId="3" fillId="28" borderId="58" xfId="81" applyNumberFormat="1" applyFont="1" applyFill="1" applyBorder="1" applyAlignment="1">
      <alignment vertical="top"/>
    </xf>
    <xf numFmtId="164" fontId="3" fillId="28" borderId="57" xfId="81" applyNumberFormat="1" applyFont="1" applyFill="1" applyBorder="1" applyAlignment="1">
      <alignment vertical="top"/>
    </xf>
    <xf numFmtId="164" fontId="3" fillId="28" borderId="81" xfId="81" applyNumberFormat="1" applyFont="1" applyFill="1" applyBorder="1" applyAlignment="1">
      <alignment vertical="top"/>
    </xf>
    <xf numFmtId="164" fontId="3" fillId="28" borderId="73" xfId="81" applyNumberFormat="1" applyFont="1" applyFill="1" applyBorder="1" applyAlignment="1">
      <alignment vertical="top"/>
    </xf>
    <xf numFmtId="164" fontId="3" fillId="28" borderId="76" xfId="81" applyNumberFormat="1" applyFont="1" applyFill="1" applyBorder="1" applyAlignment="1">
      <alignment vertical="top"/>
    </xf>
    <xf numFmtId="0" fontId="29" fillId="28" borderId="20" xfId="0" applyFont="1" applyFill="1" applyBorder="1" applyAlignment="1" applyProtection="1">
      <alignment vertical="top"/>
    </xf>
    <xf numFmtId="0" fontId="3" fillId="28" borderId="24" xfId="0" applyNumberFormat="1" applyFont="1" applyFill="1" applyBorder="1" applyAlignment="1" applyProtection="1">
      <alignment horizontal="left" vertical="top"/>
    </xf>
    <xf numFmtId="0" fontId="3" fillId="28" borderId="18" xfId="0" applyFont="1" applyFill="1" applyBorder="1" applyAlignment="1" applyProtection="1">
      <alignment vertical="top"/>
    </xf>
    <xf numFmtId="164" fontId="3" fillId="28" borderId="56" xfId="81" applyNumberFormat="1" applyFont="1" applyFill="1" applyBorder="1" applyAlignment="1">
      <alignment vertical="top"/>
    </xf>
    <xf numFmtId="164" fontId="3" fillId="28" borderId="51" xfId="81" applyNumberFormat="1" applyFont="1" applyFill="1" applyBorder="1" applyAlignment="1">
      <alignment vertical="top"/>
    </xf>
    <xf numFmtId="0" fontId="3" fillId="28" borderId="35" xfId="0" applyFont="1" applyFill="1" applyBorder="1" applyAlignment="1" applyProtection="1">
      <alignment vertical="top"/>
    </xf>
    <xf numFmtId="49" fontId="3" fillId="28" borderId="13" xfId="0" applyNumberFormat="1" applyFont="1" applyFill="1" applyBorder="1" applyAlignment="1" applyProtection="1">
      <alignment horizontal="right" vertical="top"/>
    </xf>
    <xf numFmtId="0" fontId="3" fillId="28" borderId="24" xfId="0" applyFont="1" applyFill="1" applyBorder="1" applyAlignment="1" applyProtection="1">
      <alignment horizontal="left" vertical="top"/>
    </xf>
    <xf numFmtId="164" fontId="3" fillId="28" borderId="52" xfId="81" applyNumberFormat="1" applyFont="1" applyFill="1" applyBorder="1" applyAlignment="1">
      <alignment vertical="top"/>
    </xf>
    <xf numFmtId="164" fontId="3" fillId="28" borderId="36" xfId="81" applyNumberFormat="1" applyFont="1" applyFill="1" applyBorder="1" applyAlignment="1">
      <alignment vertical="top"/>
    </xf>
    <xf numFmtId="164" fontId="3" fillId="28" borderId="79" xfId="81" applyNumberFormat="1" applyFont="1" applyFill="1" applyBorder="1" applyAlignment="1">
      <alignment vertical="top"/>
    </xf>
    <xf numFmtId="164" fontId="3" fillId="28" borderId="38" xfId="81" applyNumberFormat="1" applyFont="1" applyFill="1" applyBorder="1" applyAlignment="1">
      <alignment vertical="top"/>
    </xf>
    <xf numFmtId="164" fontId="3" fillId="28" borderId="94" xfId="81" applyNumberFormat="1" applyFont="1" applyFill="1" applyBorder="1" applyAlignment="1">
      <alignment vertical="top"/>
    </xf>
    <xf numFmtId="164" fontId="3" fillId="28" borderId="40" xfId="81" applyNumberFormat="1" applyFont="1" applyFill="1" applyBorder="1" applyAlignment="1">
      <alignment vertical="top"/>
    </xf>
    <xf numFmtId="164" fontId="3" fillId="28" borderId="53" xfId="81" applyNumberFormat="1" applyFont="1" applyFill="1" applyBorder="1" applyAlignment="1">
      <alignment vertical="top"/>
    </xf>
    <xf numFmtId="164" fontId="3" fillId="28" borderId="78" xfId="81" applyNumberFormat="1" applyFont="1" applyFill="1" applyBorder="1" applyAlignment="1">
      <alignment vertical="top"/>
    </xf>
    <xf numFmtId="164" fontId="3" fillId="28" borderId="95" xfId="81" applyNumberFormat="1" applyFont="1" applyFill="1" applyBorder="1" applyAlignment="1">
      <alignment vertical="top"/>
    </xf>
    <xf numFmtId="164" fontId="3" fillId="28" borderId="0" xfId="81" applyNumberFormat="1" applyFont="1" applyFill="1" applyBorder="1" applyAlignment="1" applyProtection="1">
      <alignment vertical="top"/>
    </xf>
    <xf numFmtId="0" fontId="3" fillId="0" borderId="0" xfId="126" applyFill="1" applyAlignment="1">
      <alignment horizontal="center"/>
    </xf>
    <xf numFmtId="0" fontId="3" fillId="0" borderId="0" xfId="126" applyFill="1" applyBorder="1" applyAlignment="1">
      <alignment horizontal="center" wrapText="1"/>
    </xf>
    <xf numFmtId="0" fontId="3" fillId="0" borderId="0" xfId="126" applyFill="1" applyBorder="1" applyAlignment="1">
      <alignment horizontal="center"/>
    </xf>
    <xf numFmtId="165" fontId="3" fillId="0" borderId="0" xfId="171" applyNumberFormat="1" applyFont="1" applyFill="1" applyBorder="1" applyAlignment="1">
      <alignment horizontal="center"/>
    </xf>
    <xf numFmtId="168" fontId="3" fillId="0" borderId="0" xfId="126" applyNumberFormat="1" applyFill="1" applyBorder="1" applyAlignment="1">
      <alignment horizontal="center"/>
    </xf>
    <xf numFmtId="0" fontId="4" fillId="0" borderId="0" xfId="253" applyFont="1" applyFill="1" applyBorder="1" applyAlignment="1">
      <alignment wrapText="1"/>
    </xf>
    <xf numFmtId="0" fontId="3" fillId="0" borderId="16" xfId="126" applyFill="1" applyBorder="1" applyAlignment="1"/>
    <xf numFmtId="0" fontId="3" fillId="0" borderId="17" xfId="126" applyFill="1" applyBorder="1" applyAlignment="1"/>
    <xf numFmtId="0" fontId="3" fillId="0" borderId="16" xfId="126" applyFill="1" applyBorder="1"/>
    <xf numFmtId="0" fontId="3" fillId="0" borderId="17" xfId="126" applyFill="1" applyBorder="1"/>
    <xf numFmtId="0" fontId="3" fillId="0" borderId="24" xfId="126" applyFont="1" applyFill="1" applyBorder="1" applyAlignment="1">
      <alignment horizontal="right"/>
    </xf>
    <xf numFmtId="0" fontId="3" fillId="0" borderId="18" xfId="126" applyFont="1" applyFill="1" applyBorder="1" applyAlignment="1">
      <alignment horizontal="right"/>
    </xf>
    <xf numFmtId="9" fontId="3" fillId="0" borderId="11" xfId="126" applyNumberFormat="1" applyFill="1" applyBorder="1"/>
    <xf numFmtId="9" fontId="3" fillId="0" borderId="14" xfId="126" applyNumberFormat="1" applyFill="1" applyBorder="1"/>
    <xf numFmtId="9" fontId="3" fillId="0" borderId="24" xfId="126" applyNumberFormat="1" applyFill="1" applyBorder="1"/>
    <xf numFmtId="9" fontId="3" fillId="0" borderId="18" xfId="126" applyNumberFormat="1" applyFill="1" applyBorder="1"/>
    <xf numFmtId="0" fontId="23" fillId="0" borderId="0" xfId="126" applyFont="1" applyAlignment="1" applyProtection="1"/>
    <xf numFmtId="164" fontId="3" fillId="0" borderId="23" xfId="81" quotePrefix="1" applyNumberFormat="1" applyFont="1" applyFill="1" applyBorder="1" applyAlignment="1" applyProtection="1">
      <alignment vertical="top"/>
      <protection locked="0"/>
    </xf>
    <xf numFmtId="0" fontId="3" fillId="0" borderId="0" xfId="126" applyFont="1" applyAlignment="1" applyProtection="1"/>
    <xf numFmtId="0" fontId="3" fillId="0" borderId="0" xfId="126" applyFont="1" applyBorder="1" applyAlignment="1" applyProtection="1">
      <alignment horizontal="left"/>
    </xf>
    <xf numFmtId="0" fontId="3" fillId="0" borderId="0" xfId="126" applyFont="1" applyBorder="1" applyAlignment="1" applyProtection="1"/>
    <xf numFmtId="0" fontId="3" fillId="0" borderId="0" xfId="126" applyFont="1" applyAlignment="1" applyProtection="1">
      <alignment horizontal="left"/>
    </xf>
    <xf numFmtId="0" fontId="0" fillId="0" borderId="0" xfId="0" applyAlignment="1">
      <alignment vertical="center"/>
    </xf>
    <xf numFmtId="0" fontId="3" fillId="31" borderId="15" xfId="0" applyFont="1" applyFill="1" applyBorder="1" applyAlignment="1">
      <alignment horizontal="center" vertical="center"/>
    </xf>
    <xf numFmtId="0" fontId="3" fillId="0" borderId="0" xfId="0" applyFont="1" applyAlignment="1">
      <alignment vertical="center" wrapText="1"/>
    </xf>
    <xf numFmtId="0" fontId="35" fillId="0" borderId="0" xfId="0" applyFont="1" applyAlignment="1">
      <alignment vertical="center" wrapText="1"/>
    </xf>
    <xf numFmtId="164" fontId="3" fillId="29" borderId="27" xfId="81" applyNumberFormat="1" applyFont="1" applyFill="1" applyBorder="1" applyAlignment="1" applyProtection="1">
      <alignment vertical="top"/>
      <protection locked="0"/>
    </xf>
    <xf numFmtId="164" fontId="3" fillId="29" borderId="80" xfId="81" applyNumberFormat="1" applyFont="1" applyFill="1" applyBorder="1" applyAlignment="1" applyProtection="1">
      <alignment vertical="top"/>
      <protection locked="0"/>
    </xf>
    <xf numFmtId="164" fontId="3" fillId="29" borderId="50" xfId="81" applyNumberFormat="1" applyFont="1" applyFill="1" applyBorder="1" applyAlignment="1" applyProtection="1">
      <alignment vertical="top"/>
      <protection locked="0"/>
    </xf>
    <xf numFmtId="164" fontId="3" fillId="29" borderId="29" xfId="81" applyNumberFormat="1" applyFont="1" applyFill="1" applyBorder="1" applyAlignment="1" applyProtection="1">
      <alignment vertical="top"/>
      <protection locked="0"/>
    </xf>
    <xf numFmtId="164" fontId="3" fillId="29" borderId="0" xfId="81" applyNumberFormat="1" applyFont="1" applyFill="1" applyBorder="1" applyAlignment="1" applyProtection="1">
      <alignment vertical="top"/>
      <protection locked="0"/>
    </xf>
    <xf numFmtId="164" fontId="3" fillId="29" borderId="13" xfId="81" applyNumberFormat="1" applyFont="1" applyFill="1" applyBorder="1" applyAlignment="1" applyProtection="1">
      <alignment vertical="top"/>
      <protection locked="0"/>
    </xf>
    <xf numFmtId="164" fontId="3" fillId="29" borderId="27" xfId="81" applyNumberFormat="1" applyFont="1" applyFill="1" applyBorder="1" applyAlignment="1">
      <alignment vertical="top"/>
    </xf>
    <xf numFmtId="164" fontId="3" fillId="29" borderId="23" xfId="81" applyNumberFormat="1" applyFont="1" applyFill="1" applyBorder="1" applyAlignment="1">
      <alignment vertical="top"/>
    </xf>
    <xf numFmtId="164" fontId="3" fillId="29" borderId="80" xfId="81" applyNumberFormat="1" applyFont="1" applyFill="1" applyBorder="1" applyAlignment="1">
      <alignment vertical="top"/>
    </xf>
    <xf numFmtId="164" fontId="3" fillId="29" borderId="50" xfId="81" applyNumberFormat="1" applyFont="1" applyFill="1" applyBorder="1" applyAlignment="1">
      <alignment vertical="top"/>
    </xf>
    <xf numFmtId="164" fontId="3" fillId="29" borderId="29" xfId="81" applyNumberFormat="1" applyFont="1" applyFill="1" applyBorder="1" applyAlignment="1">
      <alignment vertical="top"/>
    </xf>
    <xf numFmtId="164" fontId="3" fillId="29" borderId="0" xfId="81" applyNumberFormat="1" applyFont="1" applyFill="1" applyBorder="1" applyAlignment="1">
      <alignment vertical="top"/>
    </xf>
    <xf numFmtId="164" fontId="3" fillId="29" borderId="13" xfId="81" applyNumberFormat="1" applyFont="1" applyFill="1" applyBorder="1" applyAlignment="1">
      <alignment vertical="top"/>
    </xf>
    <xf numFmtId="166" fontId="3" fillId="29" borderId="31" xfId="62" applyNumberFormat="1" applyFont="1" applyFill="1" applyBorder="1" applyAlignment="1">
      <alignment vertical="top"/>
    </xf>
    <xf numFmtId="166" fontId="3" fillId="29" borderId="32" xfId="62" applyNumberFormat="1" applyFont="1" applyFill="1" applyBorder="1" applyAlignment="1">
      <alignment vertical="top"/>
    </xf>
    <xf numFmtId="166" fontId="3" fillId="29" borderId="82" xfId="62" applyNumberFormat="1" applyFont="1" applyFill="1" applyBorder="1" applyAlignment="1">
      <alignment vertical="top"/>
    </xf>
    <xf numFmtId="166" fontId="3" fillId="29" borderId="74" xfId="62" applyNumberFormat="1" applyFont="1" applyFill="1" applyBorder="1" applyAlignment="1">
      <alignment vertical="top"/>
    </xf>
    <xf numFmtId="166" fontId="3" fillId="29" borderId="44" xfId="62" applyNumberFormat="1" applyFont="1" applyFill="1" applyBorder="1" applyAlignment="1">
      <alignment vertical="top"/>
    </xf>
    <xf numFmtId="166" fontId="3" fillId="29" borderId="49" xfId="62" applyNumberFormat="1" applyFont="1" applyFill="1" applyBorder="1" applyAlignment="1">
      <alignment vertical="top"/>
    </xf>
    <xf numFmtId="166" fontId="3" fillId="29" borderId="33" xfId="62" applyNumberFormat="1" applyFont="1" applyFill="1" applyBorder="1" applyAlignment="1">
      <alignment vertical="top"/>
    </xf>
    <xf numFmtId="166" fontId="3" fillId="29" borderId="77" xfId="62" applyNumberFormat="1" applyFont="1" applyFill="1" applyBorder="1" applyAlignment="1">
      <alignment vertical="top"/>
    </xf>
    <xf numFmtId="164" fontId="3" fillId="29" borderId="27" xfId="81" applyNumberFormat="1" applyFont="1" applyFill="1" applyBorder="1" applyAlignment="1">
      <alignment horizontal="center" vertical="top"/>
    </xf>
    <xf numFmtId="164" fontId="3" fillId="29" borderId="38" xfId="81" applyNumberFormat="1" applyFont="1" applyFill="1" applyBorder="1" applyAlignment="1">
      <alignment horizontal="center" vertical="top"/>
    </xf>
    <xf numFmtId="164" fontId="3" fillId="29" borderId="0" xfId="81" applyNumberFormat="1" applyFont="1" applyFill="1" applyBorder="1" applyAlignment="1">
      <alignment horizontal="center" vertical="top"/>
    </xf>
    <xf numFmtId="164" fontId="3" fillId="29" borderId="13" xfId="81" applyNumberFormat="1" applyFont="1" applyFill="1" applyBorder="1" applyAlignment="1">
      <alignment horizontal="center" vertical="top"/>
    </xf>
    <xf numFmtId="164" fontId="3" fillId="29" borderId="14" xfId="81" applyNumberFormat="1" applyFont="1" applyFill="1" applyBorder="1" applyAlignment="1">
      <alignment horizontal="center" vertical="top"/>
    </xf>
    <xf numFmtId="164" fontId="3" fillId="29" borderId="27" xfId="81" applyNumberFormat="1" applyFont="1" applyFill="1" applyBorder="1" applyAlignment="1" applyProtection="1">
      <alignment horizontal="center" vertical="top"/>
      <protection locked="0"/>
    </xf>
    <xf numFmtId="164" fontId="3" fillId="29" borderId="23" xfId="81" applyNumberFormat="1" applyFont="1" applyFill="1" applyBorder="1" applyAlignment="1" applyProtection="1">
      <alignment horizontal="center" vertical="top"/>
      <protection locked="0"/>
    </xf>
    <xf numFmtId="164" fontId="3" fillId="29" borderId="80" xfId="81" applyNumberFormat="1" applyFont="1" applyFill="1" applyBorder="1" applyAlignment="1" applyProtection="1">
      <alignment horizontal="center" vertical="top"/>
      <protection locked="0"/>
    </xf>
    <xf numFmtId="164" fontId="3" fillId="29" borderId="38" xfId="81" applyNumberFormat="1" applyFont="1" applyFill="1" applyBorder="1" applyAlignment="1" applyProtection="1">
      <alignment horizontal="center" vertical="top"/>
      <protection locked="0"/>
    </xf>
    <xf numFmtId="164" fontId="3" fillId="29" borderId="50" xfId="81" applyNumberFormat="1" applyFont="1" applyFill="1" applyBorder="1" applyAlignment="1" applyProtection="1">
      <alignment horizontal="center" vertical="top"/>
      <protection locked="0"/>
    </xf>
    <xf numFmtId="164" fontId="3" fillId="29" borderId="13" xfId="81" applyNumberFormat="1" applyFont="1" applyFill="1" applyBorder="1" applyAlignment="1" applyProtection="1">
      <alignment horizontal="center" vertical="top"/>
      <protection locked="0"/>
    </xf>
    <xf numFmtId="164" fontId="3" fillId="29" borderId="14" xfId="81" applyNumberFormat="1" applyFont="1" applyFill="1" applyBorder="1" applyAlignment="1" applyProtection="1">
      <alignment horizontal="center" vertical="top"/>
      <protection locked="0"/>
    </xf>
    <xf numFmtId="164" fontId="3" fillId="30" borderId="80" xfId="62" applyNumberFormat="1" applyFont="1" applyFill="1" applyBorder="1" applyAlignment="1" applyProtection="1">
      <alignment horizontal="center" vertical="top"/>
      <protection locked="0"/>
    </xf>
    <xf numFmtId="0" fontId="4" fillId="0" borderId="15" xfId="253" applyFont="1" applyFill="1" applyBorder="1" applyAlignment="1">
      <alignment wrapText="1"/>
    </xf>
    <xf numFmtId="0" fontId="3" fillId="0" borderId="0" xfId="0" applyFont="1" applyFill="1" applyBorder="1" applyAlignment="1">
      <alignment horizontal="center" vertical="center"/>
    </xf>
    <xf numFmtId="0" fontId="0" fillId="0" borderId="0" xfId="0" applyFill="1" applyAlignment="1">
      <alignment vertical="center"/>
    </xf>
    <xf numFmtId="0" fontId="23" fillId="0" borderId="0" xfId="126" applyFont="1" applyFill="1" applyBorder="1" applyAlignment="1" applyProtection="1">
      <alignment vertical="top" wrapText="1"/>
    </xf>
    <xf numFmtId="0" fontId="23" fillId="0" borderId="0" xfId="126" applyFont="1" applyFill="1" applyBorder="1" applyAlignment="1" applyProtection="1">
      <alignment vertical="top"/>
    </xf>
    <xf numFmtId="164" fontId="3" fillId="0" borderId="75" xfId="62" applyNumberFormat="1" applyFont="1" applyFill="1" applyBorder="1" applyAlignment="1" applyProtection="1">
      <alignment horizontal="center" vertical="top"/>
      <protection locked="0"/>
    </xf>
    <xf numFmtId="164" fontId="3" fillId="0" borderId="0" xfId="62" applyNumberFormat="1" applyFont="1" applyFill="1" applyBorder="1" applyAlignment="1" applyProtection="1">
      <alignment horizontal="center" vertical="top"/>
      <protection locked="0"/>
    </xf>
    <xf numFmtId="164" fontId="3" fillId="0" borderId="92" xfId="81" applyNumberFormat="1" applyFont="1" applyFill="1" applyBorder="1" applyAlignment="1">
      <alignment horizontal="center" vertical="top"/>
    </xf>
    <xf numFmtId="0" fontId="23" fillId="0" borderId="0" xfId="0" applyFont="1" applyAlignment="1">
      <alignment vertical="center"/>
    </xf>
    <xf numFmtId="0" fontId="3" fillId="0" borderId="0" xfId="0" applyFont="1" applyAlignment="1">
      <alignment horizontal="left" vertical="center" wrapText="1" indent="2"/>
    </xf>
    <xf numFmtId="0" fontId="3" fillId="0" borderId="0" xfId="0" applyFont="1" applyAlignment="1">
      <alignment horizontal="left" vertical="center" wrapText="1"/>
    </xf>
    <xf numFmtId="0" fontId="3" fillId="0" borderId="0" xfId="126"/>
    <xf numFmtId="0" fontId="39" fillId="32" borderId="14" xfId="126" applyFont="1" applyFill="1" applyBorder="1" applyAlignment="1">
      <alignment wrapText="1"/>
    </xf>
    <xf numFmtId="0" fontId="39" fillId="32" borderId="11" xfId="126" applyFont="1" applyFill="1" applyBorder="1" applyAlignment="1">
      <alignment wrapText="1"/>
    </xf>
    <xf numFmtId="0" fontId="3" fillId="0" borderId="22" xfId="126" applyFont="1" applyFill="1" applyBorder="1" applyAlignment="1">
      <alignment vertical="top" wrapText="1"/>
    </xf>
    <xf numFmtId="0" fontId="3" fillId="0" borderId="21" xfId="126" applyFont="1" applyFill="1" applyBorder="1" applyAlignment="1">
      <alignment vertical="top" wrapText="1"/>
    </xf>
    <xf numFmtId="0" fontId="3" fillId="0" borderId="17" xfId="126" applyFont="1" applyFill="1" applyBorder="1" applyAlignment="1">
      <alignment vertical="top" wrapText="1"/>
    </xf>
    <xf numFmtId="0" fontId="3" fillId="0" borderId="16" xfId="126" applyFont="1" applyFill="1" applyBorder="1" applyAlignment="1">
      <alignment vertical="top" wrapText="1"/>
    </xf>
    <xf numFmtId="0" fontId="3" fillId="0" borderId="0" xfId="0" applyFont="1" applyAlignment="1">
      <alignment vertical="top" wrapText="1"/>
    </xf>
    <xf numFmtId="0" fontId="38" fillId="32" borderId="0" xfId="126" applyFont="1" applyFill="1" applyAlignment="1">
      <alignment horizontal="center"/>
    </xf>
    <xf numFmtId="49" fontId="3" fillId="28" borderId="0" xfId="0" applyNumberFormat="1" applyFont="1" applyFill="1" applyAlignment="1" applyProtection="1">
      <alignment horizontal="left"/>
    </xf>
    <xf numFmtId="0" fontId="23" fillId="24" borderId="66" xfId="0" applyFont="1" applyFill="1" applyBorder="1" applyAlignment="1" applyProtection="1">
      <alignment horizontal="center" wrapText="1"/>
    </xf>
    <xf numFmtId="0" fontId="23" fillId="24" borderId="30" xfId="0" applyFont="1" applyFill="1" applyBorder="1" applyAlignment="1" applyProtection="1">
      <alignment horizontal="center" wrapText="1"/>
    </xf>
    <xf numFmtId="0" fontId="23" fillId="24" borderId="54" xfId="0" applyFont="1" applyFill="1" applyBorder="1" applyAlignment="1" applyProtection="1">
      <alignment horizontal="center" wrapText="1"/>
    </xf>
    <xf numFmtId="0" fontId="23" fillId="24" borderId="67" xfId="0" applyFont="1" applyFill="1" applyBorder="1" applyAlignment="1" applyProtection="1">
      <alignment horizontal="center" wrapText="1"/>
    </xf>
    <xf numFmtId="0" fontId="23" fillId="24" borderId="42" xfId="0" applyFont="1" applyFill="1" applyBorder="1" applyAlignment="1" applyProtection="1">
      <alignment horizontal="center"/>
    </xf>
    <xf numFmtId="0" fontId="23" fillId="24" borderId="60" xfId="0" applyFont="1" applyFill="1" applyBorder="1" applyAlignment="1" applyProtection="1">
      <alignment horizontal="center"/>
    </xf>
    <xf numFmtId="0" fontId="23" fillId="24" borderId="61" xfId="0" applyFont="1" applyFill="1" applyBorder="1" applyAlignment="1" applyProtection="1">
      <alignment horizontal="center"/>
    </xf>
    <xf numFmtId="0" fontId="3" fillId="25" borderId="54" xfId="0" applyFont="1" applyFill="1" applyBorder="1" applyAlignment="1" applyProtection="1">
      <alignment horizontal="center"/>
    </xf>
    <xf numFmtId="0" fontId="3" fillId="25" borderId="53" xfId="0" applyFont="1" applyFill="1" applyBorder="1" applyAlignment="1" applyProtection="1">
      <alignment horizontal="center"/>
    </xf>
    <xf numFmtId="0" fontId="3" fillId="25" borderId="37" xfId="0" applyFont="1" applyFill="1" applyBorder="1" applyAlignment="1" applyProtection="1">
      <alignment horizontal="center"/>
    </xf>
    <xf numFmtId="49" fontId="3" fillId="0" borderId="21" xfId="0" applyNumberFormat="1" applyFont="1" applyFill="1" applyBorder="1" applyAlignment="1" applyProtection="1">
      <alignment horizontal="left"/>
    </xf>
    <xf numFmtId="49" fontId="3" fillId="0" borderId="22" xfId="0" applyNumberFormat="1" applyFont="1" applyFill="1" applyBorder="1" applyAlignment="1" applyProtection="1">
      <alignment horizontal="left"/>
    </xf>
    <xf numFmtId="0" fontId="0" fillId="0" borderId="0" xfId="0" applyAlignment="1" applyProtection="1"/>
    <xf numFmtId="0" fontId="0" fillId="0" borderId="22" xfId="0" applyFill="1" applyBorder="1" applyAlignment="1" applyProtection="1"/>
    <xf numFmtId="166" fontId="3" fillId="0" borderId="66" xfId="62" applyNumberFormat="1" applyFont="1" applyFill="1" applyBorder="1" applyAlignment="1" applyProtection="1">
      <alignment horizontal="center" vertical="top" wrapText="1"/>
      <protection locked="0"/>
    </xf>
    <xf numFmtId="0" fontId="0" fillId="0" borderId="91" xfId="0" applyFill="1" applyBorder="1" applyAlignment="1" applyProtection="1">
      <alignment horizontal="center"/>
      <protection locked="0"/>
    </xf>
    <xf numFmtId="49" fontId="3" fillId="28" borderId="0" xfId="0" applyNumberFormat="1" applyFont="1" applyFill="1" applyBorder="1" applyAlignment="1" applyProtection="1">
      <alignment horizontal="left"/>
    </xf>
    <xf numFmtId="0" fontId="23" fillId="0" borderId="16" xfId="0" applyFont="1" applyBorder="1" applyAlignment="1" applyProtection="1">
      <alignment horizontal="center" vertical="top" wrapText="1"/>
    </xf>
    <xf numFmtId="0" fontId="23" fillId="0" borderId="35" xfId="0" applyFont="1" applyBorder="1" applyAlignment="1" applyProtection="1">
      <alignment horizontal="center" vertical="top" wrapText="1"/>
    </xf>
    <xf numFmtId="0" fontId="23" fillId="0" borderId="17" xfId="0" applyFont="1" applyBorder="1" applyAlignment="1" applyProtection="1">
      <alignment horizontal="center" vertical="top" wrapText="1"/>
    </xf>
    <xf numFmtId="0" fontId="23" fillId="0" borderId="24" xfId="0" applyFont="1" applyBorder="1" applyAlignment="1" applyProtection="1">
      <alignment horizontal="center" vertical="top" wrapText="1"/>
    </xf>
    <xf numFmtId="0" fontId="23" fillId="0" borderId="51" xfId="0" applyFont="1" applyBorder="1" applyAlignment="1" applyProtection="1">
      <alignment horizontal="center" vertical="top" wrapText="1"/>
    </xf>
    <xf numFmtId="0" fontId="23" fillId="0" borderId="18" xfId="0" applyFont="1" applyBorder="1" applyAlignment="1" applyProtection="1">
      <alignment horizontal="center" vertical="top" wrapText="1"/>
    </xf>
    <xf numFmtId="0" fontId="3" fillId="0" borderId="16" xfId="0" applyFont="1" applyBorder="1" applyAlignment="1" applyProtection="1">
      <alignment horizontal="center" wrapText="1"/>
    </xf>
    <xf numFmtId="0" fontId="3" fillId="0" borderId="24" xfId="0" applyFont="1" applyBorder="1" applyAlignment="1" applyProtection="1">
      <alignment horizontal="center" wrapText="1"/>
    </xf>
    <xf numFmtId="0" fontId="0" fillId="0" borderId="37" xfId="0" applyBorder="1" applyAlignment="1" applyProtection="1">
      <alignment horizontal="center"/>
    </xf>
    <xf numFmtId="0" fontId="0" fillId="0" borderId="61" xfId="0" applyBorder="1" applyAlignment="1" applyProtection="1">
      <alignment horizontal="center"/>
    </xf>
    <xf numFmtId="0" fontId="3" fillId="28" borderId="0" xfId="0" applyNumberFormat="1" applyFont="1" applyFill="1" applyAlignment="1">
      <alignment horizontal="left"/>
    </xf>
    <xf numFmtId="0" fontId="0" fillId="0" borderId="0" xfId="0" applyAlignment="1"/>
    <xf numFmtId="0" fontId="23" fillId="0" borderId="16" xfId="0" applyFont="1" applyBorder="1" applyAlignment="1">
      <alignment horizontal="center" vertical="top" wrapText="1"/>
    </xf>
    <xf numFmtId="0" fontId="23" fillId="0" borderId="35" xfId="0" applyFont="1" applyBorder="1" applyAlignment="1">
      <alignment horizontal="center" vertical="top" wrapText="1"/>
    </xf>
    <xf numFmtId="0" fontId="23" fillId="0" borderId="17" xfId="0" applyFont="1" applyBorder="1" applyAlignment="1">
      <alignment horizontal="center" vertical="top" wrapText="1"/>
    </xf>
    <xf numFmtId="0" fontId="23" fillId="0" borderId="24" xfId="0" applyFont="1" applyBorder="1" applyAlignment="1">
      <alignment horizontal="center" vertical="top" wrapText="1"/>
    </xf>
    <xf numFmtId="0" fontId="23" fillId="0" borderId="51" xfId="0" applyFont="1" applyBorder="1" applyAlignment="1">
      <alignment horizontal="center" vertical="top" wrapText="1"/>
    </xf>
    <xf numFmtId="0" fontId="23" fillId="0" borderId="18" xfId="0" applyFont="1" applyBorder="1" applyAlignment="1">
      <alignment horizontal="center" vertical="top" wrapText="1"/>
    </xf>
    <xf numFmtId="0" fontId="3" fillId="0" borderId="41" xfId="0" applyFont="1" applyBorder="1" applyAlignment="1">
      <alignment horizontal="center" wrapText="1"/>
    </xf>
    <xf numFmtId="0" fontId="3" fillId="0" borderId="55" xfId="0" applyFont="1" applyBorder="1" applyAlignment="1">
      <alignment horizontal="center" wrapText="1"/>
    </xf>
    <xf numFmtId="0" fontId="23" fillId="24" borderId="66" xfId="0" applyFont="1" applyFill="1" applyBorder="1" applyAlignment="1">
      <alignment horizontal="center" wrapText="1"/>
    </xf>
    <xf numFmtId="0" fontId="23" fillId="24" borderId="30" xfId="0" applyFont="1" applyFill="1" applyBorder="1" applyAlignment="1">
      <alignment horizontal="center" wrapText="1"/>
    </xf>
    <xf numFmtId="0" fontId="3" fillId="25" borderId="42" xfId="0" applyFont="1" applyFill="1" applyBorder="1" applyAlignment="1">
      <alignment horizontal="center"/>
    </xf>
    <xf numFmtId="0" fontId="3" fillId="25" borderId="60" xfId="0" applyFont="1" applyFill="1" applyBorder="1" applyAlignment="1">
      <alignment horizontal="center"/>
    </xf>
    <xf numFmtId="0" fontId="3" fillId="25" borderId="61" xfId="0" applyFont="1" applyFill="1" applyBorder="1" applyAlignment="1">
      <alignment horizontal="center"/>
    </xf>
    <xf numFmtId="0" fontId="3" fillId="25" borderId="62" xfId="0" applyFont="1" applyFill="1" applyBorder="1" applyAlignment="1">
      <alignment horizontal="center"/>
    </xf>
    <xf numFmtId="0" fontId="3" fillId="25" borderId="64" xfId="0" applyFont="1" applyFill="1" applyBorder="1" applyAlignment="1">
      <alignment horizontal="center"/>
    </xf>
    <xf numFmtId="0" fontId="23" fillId="24" borderId="42" xfId="0" applyFont="1" applyFill="1" applyBorder="1" applyAlignment="1">
      <alignment horizontal="center"/>
    </xf>
    <xf numFmtId="0" fontId="23" fillId="24" borderId="60" xfId="0" applyFont="1" applyFill="1" applyBorder="1" applyAlignment="1">
      <alignment horizontal="center"/>
    </xf>
    <xf numFmtId="0" fontId="23" fillId="24" borderId="61" xfId="0" applyFont="1" applyFill="1" applyBorder="1" applyAlignment="1">
      <alignment horizontal="center"/>
    </xf>
    <xf numFmtId="0" fontId="23" fillId="24" borderId="54" xfId="0" applyFont="1" applyFill="1" applyBorder="1" applyAlignment="1">
      <alignment horizontal="center" wrapText="1"/>
    </xf>
    <xf numFmtId="0" fontId="23" fillId="24" borderId="67" xfId="0" applyFont="1" applyFill="1" applyBorder="1" applyAlignment="1">
      <alignment horizontal="center" wrapText="1"/>
    </xf>
    <xf numFmtId="0" fontId="3" fillId="28" borderId="0" xfId="0" applyNumberFormat="1" applyFont="1" applyFill="1" applyAlignment="1" applyProtection="1">
      <alignment horizontal="left"/>
    </xf>
    <xf numFmtId="0" fontId="3" fillId="28" borderId="0" xfId="126" applyNumberFormat="1" applyFont="1" applyFill="1" applyAlignment="1" applyProtection="1">
      <alignment horizontal="left"/>
    </xf>
    <xf numFmtId="49" fontId="3" fillId="28" borderId="0" xfId="126" applyNumberFormat="1" applyFont="1" applyFill="1" applyAlignment="1" applyProtection="1">
      <alignment horizontal="left"/>
    </xf>
    <xf numFmtId="0" fontId="23" fillId="28" borderId="0" xfId="0" applyNumberFormat="1" applyFont="1" applyFill="1" applyBorder="1" applyAlignment="1" applyProtection="1">
      <alignment horizontal="left"/>
    </xf>
    <xf numFmtId="0" fontId="3" fillId="28" borderId="0" xfId="126" applyNumberFormat="1" applyFont="1" applyFill="1" applyBorder="1" applyAlignment="1" applyProtection="1">
      <alignment horizontal="left"/>
    </xf>
    <xf numFmtId="49" fontId="3" fillId="28" borderId="0" xfId="126" applyNumberFormat="1" applyFont="1" applyFill="1" applyBorder="1" applyAlignment="1" applyProtection="1">
      <alignment horizontal="left" vertical="center"/>
    </xf>
    <xf numFmtId="0" fontId="3" fillId="28" borderId="0" xfId="126" applyNumberFormat="1" applyFont="1" applyFill="1" applyBorder="1" applyAlignment="1" applyProtection="1">
      <alignment horizontal="left" vertical="center"/>
    </xf>
    <xf numFmtId="0" fontId="3" fillId="0" borderId="16" xfId="125" applyFont="1" applyFill="1" applyBorder="1" applyAlignment="1">
      <alignment horizontal="left" vertical="top" wrapText="1" indent="1"/>
    </xf>
    <xf numFmtId="0" fontId="0" fillId="0" borderId="35" xfId="0" applyBorder="1" applyAlignment="1">
      <alignment horizontal="left" vertical="top" wrapText="1" indent="1"/>
    </xf>
    <xf numFmtId="0" fontId="23" fillId="24" borderId="42" xfId="125" applyFont="1"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3" fillId="25" borderId="42" xfId="125" applyFont="1" applyFill="1" applyBorder="1" applyAlignment="1">
      <alignment horizontal="center"/>
    </xf>
    <xf numFmtId="0" fontId="0" fillId="0" borderId="60" xfId="0" applyBorder="1" applyAlignment="1"/>
    <xf numFmtId="0" fontId="0" fillId="0" borderId="61" xfId="0" applyBorder="1" applyAlignment="1"/>
    <xf numFmtId="0" fontId="3" fillId="0" borderId="0" xfId="126" applyFill="1" applyAlignment="1">
      <alignment horizontal="center"/>
    </xf>
    <xf numFmtId="0" fontId="3" fillId="0" borderId="51" xfId="126" applyFill="1" applyBorder="1" applyAlignment="1">
      <alignment horizontal="center" wrapText="1"/>
    </xf>
    <xf numFmtId="0" fontId="3" fillId="0" borderId="51" xfId="126" applyFill="1" applyBorder="1" applyAlignment="1">
      <alignment horizontal="center"/>
    </xf>
  </cellXfs>
  <cellStyles count="255">
    <cellStyle name="20% - Accent1" xfId="1" builtinId="30" customBuiltin="1"/>
    <cellStyle name="20% - Accent1 2" xfId="2"/>
    <cellStyle name="20% - Accent2" xfId="3" builtinId="34" customBuiltin="1"/>
    <cellStyle name="20% - Accent2 2" xfId="4"/>
    <cellStyle name="20% - Accent3" xfId="5" builtinId="38" customBuiltin="1"/>
    <cellStyle name="20% - Accent3 2" xfId="6"/>
    <cellStyle name="20% - Accent4" xfId="7" builtinId="42" customBuiltin="1"/>
    <cellStyle name="20% - Accent4 2" xfId="8"/>
    <cellStyle name="20% - Accent5" xfId="9" builtinId="46" customBuiltin="1"/>
    <cellStyle name="20% - Accent5 2" xfId="10"/>
    <cellStyle name="20% - Accent6" xfId="11" builtinId="50" customBuiltin="1"/>
    <cellStyle name="20% - Accent6 2" xfId="12"/>
    <cellStyle name="40% - Accent1" xfId="13" builtinId="31" customBuiltin="1"/>
    <cellStyle name="40% - Accent1 2" xfId="14"/>
    <cellStyle name="40% - Accent2" xfId="15" builtinId="35" customBuiltin="1"/>
    <cellStyle name="40% - Accent2 2" xfId="16"/>
    <cellStyle name="40% - Accent3" xfId="17" builtinId="39" customBuiltin="1"/>
    <cellStyle name="40% - Accent3 2" xfId="18"/>
    <cellStyle name="40% - Accent4" xfId="19" builtinId="43" customBuiltin="1"/>
    <cellStyle name="40% - Accent4 2" xfId="20"/>
    <cellStyle name="40% - Accent5" xfId="21" builtinId="47" customBuiltin="1"/>
    <cellStyle name="40% - Accent5 2" xfId="22"/>
    <cellStyle name="40% - Accent6" xfId="23" builtinId="51" customBuiltin="1"/>
    <cellStyle name="40% - Accent6 2" xfId="24"/>
    <cellStyle name="60% - Accent1" xfId="25" builtinId="32" customBuiltin="1"/>
    <cellStyle name="60% - Accent1 2" xfId="26"/>
    <cellStyle name="60% - Accent2" xfId="27" builtinId="36" customBuiltin="1"/>
    <cellStyle name="60% - Accent2 2" xfId="28"/>
    <cellStyle name="60% - Accent3" xfId="29" builtinId="40" customBuiltin="1"/>
    <cellStyle name="60% - Accent3 2" xfId="30"/>
    <cellStyle name="60% - Accent4" xfId="31" builtinId="44" customBuiltin="1"/>
    <cellStyle name="60% - Accent4 2" xfId="32"/>
    <cellStyle name="60% - Accent5" xfId="33" builtinId="48" customBuiltin="1"/>
    <cellStyle name="60% - Accent5 2" xfId="34"/>
    <cellStyle name="60% - Accent6" xfId="35" builtinId="52" customBuiltin="1"/>
    <cellStyle name="60% - Accent6 2" xfId="36"/>
    <cellStyle name="Accent1" xfId="37" builtinId="29" customBuiltin="1"/>
    <cellStyle name="Accent1 2" xfId="38"/>
    <cellStyle name="Accent2" xfId="39" builtinId="33" customBuiltin="1"/>
    <cellStyle name="Accent2 2" xfId="40"/>
    <cellStyle name="Accent3" xfId="41" builtinId="37" customBuiltin="1"/>
    <cellStyle name="Accent3 2" xfId="42"/>
    <cellStyle name="Accent4" xfId="43" builtinId="41" customBuiltin="1"/>
    <cellStyle name="Accent4 2" xfId="44"/>
    <cellStyle name="Accent5" xfId="45" builtinId="45" customBuiltin="1"/>
    <cellStyle name="Accent5 2" xfId="46"/>
    <cellStyle name="Accent6" xfId="47" builtinId="49" customBuiltin="1"/>
    <cellStyle name="Accent6 2" xfId="48"/>
    <cellStyle name="Bad" xfId="49" builtinId="27" customBuiltin="1"/>
    <cellStyle name="Bad 2" xfId="50"/>
    <cellStyle name="Calculation" xfId="51" builtinId="22" customBuiltin="1"/>
    <cellStyle name="Calculation 2" xfId="52"/>
    <cellStyle name="Calculation 3" xfId="53"/>
    <cellStyle name="Calculation 4" xfId="54"/>
    <cellStyle name="Calculation 5" xfId="55"/>
    <cellStyle name="Calculation 6" xfId="56"/>
    <cellStyle name="Calculation 7" xfId="57"/>
    <cellStyle name="Calculation 8" xfId="58"/>
    <cellStyle name="Calculation 9" xfId="59"/>
    <cellStyle name="Check Cell" xfId="60" builtinId="23" customBuiltin="1"/>
    <cellStyle name="Check Cell 2" xfId="61"/>
    <cellStyle name="Comma" xfId="62" builtinId="3"/>
    <cellStyle name="Comma 2" xfId="63"/>
    <cellStyle name="Comma 2 2" xfId="64"/>
    <cellStyle name="Comma 2 2 2" xfId="65"/>
    <cellStyle name="Comma 2 2 3" xfId="66"/>
    <cellStyle name="Comma 2 2 4" xfId="67"/>
    <cellStyle name="Comma 2 2 5" xfId="68"/>
    <cellStyle name="Comma 2 2 6" xfId="69"/>
    <cellStyle name="Comma 2 2 7" xfId="70"/>
    <cellStyle name="Comma 2 2 8" xfId="71"/>
    <cellStyle name="Comma 3" xfId="72"/>
    <cellStyle name="Comma 3 2" xfId="73"/>
    <cellStyle name="Comma 3 3" xfId="74"/>
    <cellStyle name="Comma 3 4" xfId="75"/>
    <cellStyle name="Comma 3 5" xfId="76"/>
    <cellStyle name="Comma 3 6" xfId="77"/>
    <cellStyle name="Comma 3 7" xfId="78"/>
    <cellStyle name="Comma 3 8" xfId="79"/>
    <cellStyle name="Comma 4" xfId="80"/>
    <cellStyle name="Currency" xfId="81" builtinId="4"/>
    <cellStyle name="Currency 2" xfId="82"/>
    <cellStyle name="Currency 2 2" xfId="83"/>
    <cellStyle name="Currency 2 2 2" xfId="84"/>
    <cellStyle name="Currency 2 2 3" xfId="85"/>
    <cellStyle name="Currency 2 2 4" xfId="86"/>
    <cellStyle name="Currency 2 2 5" xfId="87"/>
    <cellStyle name="Currency 2 2 6" xfId="88"/>
    <cellStyle name="Currency 2 2 7" xfId="89"/>
    <cellStyle name="Currency 2 2 8" xfId="90"/>
    <cellStyle name="Currency 3" xfId="91"/>
    <cellStyle name="Currency 3 2" xfId="92"/>
    <cellStyle name="Currency 3 3" xfId="93"/>
    <cellStyle name="Currency 3 4" xfId="94"/>
    <cellStyle name="Currency 3 5" xfId="95"/>
    <cellStyle name="Currency 3 6" xfId="96"/>
    <cellStyle name="Currency 3 7" xfId="97"/>
    <cellStyle name="Currency 3 8" xfId="98"/>
    <cellStyle name="Currency 4" xfId="99"/>
    <cellStyle name="Explanatory Text" xfId="100" builtinId="53" customBuiltin="1"/>
    <cellStyle name="Explanatory Text 2" xfId="101"/>
    <cellStyle name="Good" xfId="102" builtinId="26" customBuiltin="1"/>
    <cellStyle name="Good 2" xfId="103"/>
    <cellStyle name="Heading 1" xfId="104" builtinId="16" customBuiltin="1"/>
    <cellStyle name="Heading 1 2" xfId="105"/>
    <cellStyle name="Heading 2" xfId="106" builtinId="17" customBuiltin="1"/>
    <cellStyle name="Heading 2 2" xfId="107"/>
    <cellStyle name="Heading 3" xfId="108" builtinId="18" customBuiltin="1"/>
    <cellStyle name="Heading 3 2" xfId="109"/>
    <cellStyle name="Heading 4" xfId="110" builtinId="19" customBuiltin="1"/>
    <cellStyle name="Heading 4 2" xfId="111"/>
    <cellStyle name="Input" xfId="112" builtinId="20" customBuiltin="1"/>
    <cellStyle name="Input 2" xfId="113"/>
    <cellStyle name="Input 3" xfId="114"/>
    <cellStyle name="Input 4" xfId="115"/>
    <cellStyle name="Input 5" xfId="116"/>
    <cellStyle name="Input 6" xfId="117"/>
    <cellStyle name="Input 7" xfId="118"/>
    <cellStyle name="Input 8" xfId="119"/>
    <cellStyle name="Input 9" xfId="120"/>
    <cellStyle name="Linked Cell" xfId="121" builtinId="24" customBuiltin="1"/>
    <cellStyle name="Linked Cell 2" xfId="122"/>
    <cellStyle name="Neutral" xfId="123" builtinId="28" customBuiltin="1"/>
    <cellStyle name="Neutral 2" xfId="124"/>
    <cellStyle name="Normal" xfId="0" builtinId="0"/>
    <cellStyle name="Normal 2" xfId="125"/>
    <cellStyle name="Normal 2 2" xfId="126"/>
    <cellStyle name="Normal 2 3" xfId="127"/>
    <cellStyle name="Normal 2 4" xfId="128"/>
    <cellStyle name="Normal 2 5" xfId="129"/>
    <cellStyle name="Normal 2 6" xfId="130"/>
    <cellStyle name="Normal 2 7" xfId="131"/>
    <cellStyle name="Normal 2 8" xfId="132"/>
    <cellStyle name="Normal 3" xfId="133"/>
    <cellStyle name="Normal 3 10" xfId="200"/>
    <cellStyle name="Normal 3 10 2" xfId="234"/>
    <cellStyle name="Normal 3 11" xfId="251"/>
    <cellStyle name="Normal 3 12" xfId="217"/>
    <cellStyle name="Normal 3 2" xfId="134"/>
    <cellStyle name="Normal 3 2 10" xfId="252"/>
    <cellStyle name="Normal 3 2 11" xfId="218"/>
    <cellStyle name="Normal 3 2 2" xfId="135"/>
    <cellStyle name="Normal 3 2 2 2" xfId="202"/>
    <cellStyle name="Normal 3 2 2 2 2" xfId="236"/>
    <cellStyle name="Normal 3 2 2 3" xfId="219"/>
    <cellStyle name="Normal 3 2 3" xfId="136"/>
    <cellStyle name="Normal 3 2 3 2" xfId="203"/>
    <cellStyle name="Normal 3 2 3 2 2" xfId="237"/>
    <cellStyle name="Normal 3 2 3 3" xfId="220"/>
    <cellStyle name="Normal 3 2 4" xfId="137"/>
    <cellStyle name="Normal 3 2 4 2" xfId="204"/>
    <cellStyle name="Normal 3 2 4 2 2" xfId="238"/>
    <cellStyle name="Normal 3 2 4 3" xfId="221"/>
    <cellStyle name="Normal 3 2 5" xfId="138"/>
    <cellStyle name="Normal 3 2 5 2" xfId="205"/>
    <cellStyle name="Normal 3 2 5 2 2" xfId="239"/>
    <cellStyle name="Normal 3 2 5 3" xfId="222"/>
    <cellStyle name="Normal 3 2 6" xfId="139"/>
    <cellStyle name="Normal 3 2 6 2" xfId="206"/>
    <cellStyle name="Normal 3 2 6 2 2" xfId="240"/>
    <cellStyle name="Normal 3 2 6 3" xfId="223"/>
    <cellStyle name="Normal 3 2 7" xfId="140"/>
    <cellStyle name="Normal 3 2 7 2" xfId="207"/>
    <cellStyle name="Normal 3 2 7 2 2" xfId="241"/>
    <cellStyle name="Normal 3 2 7 3" xfId="224"/>
    <cellStyle name="Normal 3 2 8" xfId="141"/>
    <cellStyle name="Normal 3 2 8 2" xfId="208"/>
    <cellStyle name="Normal 3 2 8 2 2" xfId="242"/>
    <cellStyle name="Normal 3 2 8 3" xfId="225"/>
    <cellStyle name="Normal 3 2 9" xfId="201"/>
    <cellStyle name="Normal 3 2 9 2" xfId="235"/>
    <cellStyle name="Normal 3 3" xfId="142"/>
    <cellStyle name="Normal 3 3 2" xfId="209"/>
    <cellStyle name="Normal 3 3 2 2" xfId="243"/>
    <cellStyle name="Normal 3 3 3" xfId="226"/>
    <cellStyle name="Normal 3 4" xfId="143"/>
    <cellStyle name="Normal 3 4 2" xfId="210"/>
    <cellStyle name="Normal 3 4 2 2" xfId="244"/>
    <cellStyle name="Normal 3 4 3" xfId="227"/>
    <cellStyle name="Normal 3 5" xfId="144"/>
    <cellStyle name="Normal 3 5 2" xfId="211"/>
    <cellStyle name="Normal 3 5 2 2" xfId="245"/>
    <cellStyle name="Normal 3 5 3" xfId="228"/>
    <cellStyle name="Normal 3 6" xfId="145"/>
    <cellStyle name="Normal 3 6 2" xfId="212"/>
    <cellStyle name="Normal 3 6 2 2" xfId="246"/>
    <cellStyle name="Normal 3 6 3" xfId="229"/>
    <cellStyle name="Normal 3 7" xfId="146"/>
    <cellStyle name="Normal 3 7 2" xfId="213"/>
    <cellStyle name="Normal 3 7 2 2" xfId="247"/>
    <cellStyle name="Normal 3 7 3" xfId="230"/>
    <cellStyle name="Normal 3 8" xfId="147"/>
    <cellStyle name="Normal 3 8 2" xfId="214"/>
    <cellStyle name="Normal 3 8 2 2" xfId="248"/>
    <cellStyle name="Normal 3 8 3" xfId="231"/>
    <cellStyle name="Normal 3 9" xfId="148"/>
    <cellStyle name="Normal 3 9 2" xfId="215"/>
    <cellStyle name="Normal 3 9 2 2" xfId="249"/>
    <cellStyle name="Normal 3 9 3" xfId="232"/>
    <cellStyle name="Normal 4" xfId="149"/>
    <cellStyle name="Normal 4 2" xfId="216"/>
    <cellStyle name="Normal 4 2 2" xfId="250"/>
    <cellStyle name="Normal 4 3" xfId="233"/>
    <cellStyle name="Normal 5" xfId="150"/>
    <cellStyle name="Normal 6" xfId="254"/>
    <cellStyle name="Normal_Tables" xfId="253"/>
    <cellStyle name="Note" xfId="151" builtinId="10" customBuiltin="1"/>
    <cellStyle name="Note 2" xfId="152"/>
    <cellStyle name="Note 3" xfId="153"/>
    <cellStyle name="Note 4" xfId="154"/>
    <cellStyle name="Note 5" xfId="155"/>
    <cellStyle name="Note 6" xfId="156"/>
    <cellStyle name="Note 7" xfId="157"/>
    <cellStyle name="Note 8" xfId="158"/>
    <cellStyle name="Note 9" xfId="159"/>
    <cellStyle name="Output" xfId="160" builtinId="21" customBuiltin="1"/>
    <cellStyle name="Output 2" xfId="161"/>
    <cellStyle name="Output 3" xfId="162"/>
    <cellStyle name="Output 4" xfId="163"/>
    <cellStyle name="Output 5" xfId="164"/>
    <cellStyle name="Output 6" xfId="165"/>
    <cellStyle name="Output 7" xfId="166"/>
    <cellStyle name="Output 8" xfId="167"/>
    <cellStyle name="Output 9" xfId="168"/>
    <cellStyle name="Percent 2" xfId="169"/>
    <cellStyle name="Percent 2 2" xfId="170"/>
    <cellStyle name="Percent 2 2 2" xfId="171"/>
    <cellStyle name="Percent 2 2 3" xfId="172"/>
    <cellStyle name="Percent 2 2 4" xfId="173"/>
    <cellStyle name="Percent 2 2 5" xfId="174"/>
    <cellStyle name="Percent 2 2 6" xfId="175"/>
    <cellStyle name="Percent 2 2 7" xfId="176"/>
    <cellStyle name="Percent 2 2 8" xfId="177"/>
    <cellStyle name="Percent 3" xfId="178"/>
    <cellStyle name="Percent 3 2" xfId="179"/>
    <cellStyle name="Percent 3 3" xfId="180"/>
    <cellStyle name="Percent 3 4" xfId="181"/>
    <cellStyle name="Percent 3 5" xfId="182"/>
    <cellStyle name="Percent 3 6" xfId="183"/>
    <cellStyle name="Percent 3 7" xfId="184"/>
    <cellStyle name="Percent 3 8" xfId="185"/>
    <cellStyle name="Percent 4" xfId="186"/>
    <cellStyle name="Title" xfId="187" builtinId="15" customBuiltin="1"/>
    <cellStyle name="Title 2" xfId="188"/>
    <cellStyle name="Total" xfId="189" builtinId="25" customBuiltin="1"/>
    <cellStyle name="Total 2" xfId="190"/>
    <cellStyle name="Total 3" xfId="191"/>
    <cellStyle name="Total 4" xfId="192"/>
    <cellStyle name="Total 5" xfId="193"/>
    <cellStyle name="Total 6" xfId="194"/>
    <cellStyle name="Total 7" xfId="195"/>
    <cellStyle name="Total 8" xfId="196"/>
    <cellStyle name="Total 9" xfId="197"/>
    <cellStyle name="Warning Text" xfId="198" builtinId="11" customBuiltin="1"/>
    <cellStyle name="Warning Text 2" xfId="199"/>
  </cellStyles>
  <dxfs count="7">
    <dxf>
      <font>
        <condense val="0"/>
        <extend val="0"/>
        <color rgb="FF9C0006"/>
      </font>
    </dxf>
    <dxf>
      <font>
        <condense val="0"/>
        <extend val="0"/>
        <color rgb="FF9C0006"/>
      </font>
    </dxf>
    <dxf>
      <font>
        <condense val="0"/>
        <extend val="0"/>
        <color rgb="FF9C0006"/>
      </font>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scheme val="none"/>
      </font>
      <fill>
        <patternFill patternType="solid">
          <fgColor indexed="64"/>
          <bgColor theme="8" tint="0.39997558519241921"/>
        </patternFill>
      </fill>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3591098</xdr:colOff>
          <xdr:row>26</xdr:row>
          <xdr:rowOff>0</xdr:rowOff>
        </xdr:from>
        <xdr:to>
          <xdr:col>1</xdr:col>
          <xdr:colOff>5187142</xdr:colOff>
          <xdr:row>27</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Copy to HIOS Template</a:t>
              </a:r>
              <a:endParaRPr lang="en-US"/>
            </a:p>
          </xdr:txBody>
        </xdr:sp>
        <xdr:clientData fPrintsWithSheet="0"/>
      </xdr:twoCellAnchor>
    </mc:Choice>
    <mc:Fallback/>
  </mc:AlternateContent>
</xdr:wsDr>
</file>

<file path=xl/tables/table1.xml><?xml version="1.0" encoding="utf-8"?>
<table xmlns="http://schemas.openxmlformats.org/spreadsheetml/2006/main" id="1" name="Table1" displayName="Table1" ref="A2:B28" totalsRowShown="0" headerRowDxfId="6" tableBorderDxfId="5">
  <autoFilter ref="A2:B28"/>
  <tableColumns count="2">
    <tableColumn id="1" name="2012 Form Line" dataDxfId="4"/>
    <tableColumn id="2" name="2012 Form Calculation References"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B1:B30"/>
  <sheetViews>
    <sheetView tabSelected="1" workbookViewId="0"/>
  </sheetViews>
  <sheetFormatPr defaultColWidth="9" defaultRowHeight="12.45"/>
  <cols>
    <col min="1" max="1" width="1.625" style="471" customWidth="1"/>
    <col min="2" max="2" width="132.875" style="471" customWidth="1"/>
    <col min="3" max="16384" width="9" style="471"/>
  </cols>
  <sheetData>
    <row r="1" spans="2:2" ht="6.05" customHeight="1">
      <c r="B1" s="473"/>
    </row>
    <row r="2" spans="2:2" ht="13.1">
      <c r="B2" s="474" t="s">
        <v>391</v>
      </c>
    </row>
    <row r="3" spans="2:2">
      <c r="B3" s="473"/>
    </row>
    <row r="4" spans="2:2" ht="37.35">
      <c r="B4" s="473" t="s">
        <v>392</v>
      </c>
    </row>
    <row r="5" spans="2:2" ht="36.65" customHeight="1">
      <c r="B5" s="473" t="s">
        <v>390</v>
      </c>
    </row>
    <row r="6" spans="2:2" ht="62.2">
      <c r="B6" s="527" t="s">
        <v>393</v>
      </c>
    </row>
    <row r="7" spans="2:2">
      <c r="B7" s="473"/>
    </row>
    <row r="8" spans="2:2" ht="25.55">
      <c r="B8" s="473" t="s">
        <v>334</v>
      </c>
    </row>
    <row r="9" spans="2:2">
      <c r="B9" s="473"/>
    </row>
    <row r="10" spans="2:2" ht="13.1">
      <c r="B10" s="473" t="s">
        <v>330</v>
      </c>
    </row>
    <row r="11" spans="2:2">
      <c r="B11" s="473"/>
    </row>
    <row r="12" spans="2:2" ht="13.1">
      <c r="B12" s="517" t="s">
        <v>322</v>
      </c>
    </row>
    <row r="13" spans="2:2">
      <c r="B13" s="519" t="s">
        <v>321</v>
      </c>
    </row>
    <row r="14" spans="2:2" ht="24.9">
      <c r="B14" s="518" t="s">
        <v>331</v>
      </c>
    </row>
    <row r="15" spans="2:2">
      <c r="B15" s="518" t="s">
        <v>332</v>
      </c>
    </row>
    <row r="16" spans="2:2" ht="24.9">
      <c r="B16" s="519" t="s">
        <v>323</v>
      </c>
    </row>
    <row r="17" spans="2:2" ht="43.2" customHeight="1">
      <c r="B17" s="519" t="s">
        <v>333</v>
      </c>
    </row>
    <row r="18" spans="2:2">
      <c r="B18" s="519" t="s">
        <v>324</v>
      </c>
    </row>
    <row r="19" spans="2:2">
      <c r="B19" s="473"/>
    </row>
    <row r="20" spans="2:2" ht="12.45" customHeight="1">
      <c r="B20" s="473" t="s">
        <v>326</v>
      </c>
    </row>
    <row r="21" spans="2:2">
      <c r="B21" s="519" t="s">
        <v>321</v>
      </c>
    </row>
    <row r="22" spans="2:2" ht="24.9">
      <c r="B22" s="518" t="s">
        <v>328</v>
      </c>
    </row>
    <row r="23" spans="2:2" ht="37.35">
      <c r="B23" s="518" t="s">
        <v>329</v>
      </c>
    </row>
    <row r="24" spans="2:2" ht="5.9" customHeight="1">
      <c r="B24" s="473"/>
    </row>
    <row r="25" spans="2:2">
      <c r="B25" s="472" t="s">
        <v>325</v>
      </c>
    </row>
    <row r="26" spans="2:2" s="511" customFormat="1" ht="5.9" customHeight="1">
      <c r="B26" s="510"/>
    </row>
    <row r="27" spans="2:2" s="511" customFormat="1">
      <c r="B27" s="510"/>
    </row>
    <row r="28" spans="2:2">
      <c r="B28" s="473"/>
    </row>
    <row r="29" spans="2:2" ht="12.45" customHeight="1">
      <c r="B29" s="473" t="s">
        <v>327</v>
      </c>
    </row>
    <row r="30" spans="2:2">
      <c r="B30" s="473"/>
    </row>
  </sheetData>
  <pageMargins left="0.2" right="0.2" top="0.35" bottom="0.25" header="0.2" footer="0.2"/>
  <pageSetup orientation="landscape" r:id="rId1"/>
  <headerFooter>
    <oddFooter>&amp;L&amp;F&amp;CPage &amp;P of &amp;N&amp;R[&amp;A]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Paste" altText="Copy to HIOS Template button">
                <anchor moveWithCells="1">
                  <from>
                    <xdr:col>1</xdr:col>
                    <xdr:colOff>3591098</xdr:colOff>
                    <xdr:row>26</xdr:row>
                    <xdr:rowOff>0</xdr:rowOff>
                  </from>
                  <to>
                    <xdr:col>1</xdr:col>
                    <xdr:colOff>5187142</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59999389629810485"/>
    <pageSetUpPr fitToPage="1"/>
  </sheetPr>
  <dimension ref="A1:B28"/>
  <sheetViews>
    <sheetView workbookViewId="0">
      <pane xSplit="1" ySplit="2" topLeftCell="B3" activePane="bottomRight" state="frozen"/>
      <selection pane="topRight" activeCell="B1" sqref="B1"/>
      <selection pane="bottomLeft" activeCell="A4" sqref="A4"/>
      <selection pane="bottomRight" activeCell="B3" sqref="B3"/>
    </sheetView>
  </sheetViews>
  <sheetFormatPr defaultColWidth="9" defaultRowHeight="12.45"/>
  <cols>
    <col min="1" max="1" width="33.875" style="520" customWidth="1"/>
    <col min="2" max="2" width="129.875" style="520" customWidth="1"/>
    <col min="3" max="16384" width="9" style="520"/>
  </cols>
  <sheetData>
    <row r="1" spans="1:2" ht="15.05">
      <c r="A1" s="528" t="s">
        <v>335</v>
      </c>
      <c r="B1" s="528"/>
    </row>
    <row r="2" spans="1:2" ht="15.05">
      <c r="A2" s="521" t="s">
        <v>336</v>
      </c>
      <c r="B2" s="522" t="s">
        <v>337</v>
      </c>
    </row>
    <row r="3" spans="1:2" ht="25.55">
      <c r="A3" s="523" t="s">
        <v>338</v>
      </c>
      <c r="B3" s="524" t="s">
        <v>339</v>
      </c>
    </row>
    <row r="4" spans="1:2" ht="25.55">
      <c r="A4" s="523" t="s">
        <v>340</v>
      </c>
      <c r="B4" s="524" t="s">
        <v>341</v>
      </c>
    </row>
    <row r="5" spans="1:2" ht="25.55">
      <c r="A5" s="523" t="s">
        <v>342</v>
      </c>
      <c r="B5" s="524" t="s">
        <v>343</v>
      </c>
    </row>
    <row r="6" spans="1:2" ht="62.85">
      <c r="A6" s="523" t="s">
        <v>344</v>
      </c>
      <c r="B6" s="524" t="s">
        <v>345</v>
      </c>
    </row>
    <row r="7" spans="1:2" ht="25.55">
      <c r="A7" s="523" t="s">
        <v>346</v>
      </c>
      <c r="B7" s="524" t="s">
        <v>347</v>
      </c>
    </row>
    <row r="8" spans="1:2" ht="38">
      <c r="A8" s="523" t="s">
        <v>348</v>
      </c>
      <c r="B8" s="524" t="s">
        <v>349</v>
      </c>
    </row>
    <row r="9" spans="1:2" ht="151.85">
      <c r="A9" s="523" t="s">
        <v>350</v>
      </c>
      <c r="B9" s="524" t="s">
        <v>351</v>
      </c>
    </row>
    <row r="10" spans="1:2" ht="200.95">
      <c r="A10" s="523" t="s">
        <v>352</v>
      </c>
      <c r="B10" s="524" t="s">
        <v>353</v>
      </c>
    </row>
    <row r="11" spans="1:2" ht="100.8">
      <c r="A11" s="523" t="s">
        <v>354</v>
      </c>
      <c r="B11" s="524" t="s">
        <v>355</v>
      </c>
    </row>
    <row r="12" spans="1:2" ht="75.95">
      <c r="A12" s="523" t="s">
        <v>356</v>
      </c>
      <c r="B12" s="524" t="s">
        <v>357</v>
      </c>
    </row>
    <row r="13" spans="1:2" ht="89.05">
      <c r="A13" s="523" t="s">
        <v>358</v>
      </c>
      <c r="B13" s="524" t="s">
        <v>359</v>
      </c>
    </row>
    <row r="14" spans="1:2" ht="163.65">
      <c r="A14" s="523" t="s">
        <v>360</v>
      </c>
      <c r="B14" s="524" t="s">
        <v>361</v>
      </c>
    </row>
    <row r="15" spans="1:2" ht="200.95">
      <c r="A15" s="523" t="s">
        <v>362</v>
      </c>
      <c r="B15" s="524" t="s">
        <v>363</v>
      </c>
    </row>
    <row r="16" spans="1:2" ht="75.95">
      <c r="A16" s="523" t="s">
        <v>364</v>
      </c>
      <c r="B16" s="524" t="s">
        <v>365</v>
      </c>
    </row>
    <row r="17" spans="1:2" ht="140.1">
      <c r="A17" s="523" t="s">
        <v>366</v>
      </c>
      <c r="B17" s="524" t="s">
        <v>367</v>
      </c>
    </row>
    <row r="18" spans="1:2" ht="324">
      <c r="A18" s="523" t="s">
        <v>368</v>
      </c>
      <c r="B18" s="524" t="s">
        <v>369</v>
      </c>
    </row>
    <row r="19" spans="1:2" ht="299.14999999999998">
      <c r="A19" s="523" t="s">
        <v>370</v>
      </c>
      <c r="B19" s="524" t="s">
        <v>371</v>
      </c>
    </row>
    <row r="20" spans="1:2" ht="62.85">
      <c r="A20" s="523" t="s">
        <v>372</v>
      </c>
      <c r="B20" s="524" t="s">
        <v>373</v>
      </c>
    </row>
    <row r="21" spans="1:2" ht="62.85">
      <c r="A21" s="523" t="s">
        <v>374</v>
      </c>
      <c r="B21" s="524" t="s">
        <v>375</v>
      </c>
    </row>
    <row r="22" spans="1:2" ht="62.85">
      <c r="A22" s="523" t="s">
        <v>376</v>
      </c>
      <c r="B22" s="524" t="s">
        <v>377</v>
      </c>
    </row>
    <row r="23" spans="1:2" ht="25.55">
      <c r="A23" s="523" t="s">
        <v>378</v>
      </c>
      <c r="B23" s="524" t="s">
        <v>379</v>
      </c>
    </row>
    <row r="24" spans="1:2" ht="87.75">
      <c r="A24" s="523" t="s">
        <v>380</v>
      </c>
      <c r="B24" s="524" t="s">
        <v>381</v>
      </c>
    </row>
    <row r="25" spans="1:2" ht="87.05">
      <c r="A25" s="523" t="s">
        <v>382</v>
      </c>
      <c r="B25" s="524" t="s">
        <v>383</v>
      </c>
    </row>
    <row r="26" spans="1:2" ht="25.55">
      <c r="A26" s="523" t="s">
        <v>384</v>
      </c>
      <c r="B26" s="524" t="s">
        <v>385</v>
      </c>
    </row>
    <row r="27" spans="1:2" ht="62.85">
      <c r="A27" s="523" t="s">
        <v>386</v>
      </c>
      <c r="B27" s="524" t="s">
        <v>387</v>
      </c>
    </row>
    <row r="28" spans="1:2" ht="87.75">
      <c r="A28" s="525" t="s">
        <v>388</v>
      </c>
      <c r="B28" s="526" t="s">
        <v>389</v>
      </c>
    </row>
  </sheetData>
  <mergeCells count="1">
    <mergeCell ref="A1:B1"/>
  </mergeCells>
  <pageMargins left="0.25" right="0.25" top="0.75" bottom="0.75" header="0.3" footer="0.3"/>
  <pageSetup scale="63" fitToHeight="0" orientation="portrait" r:id="rId1"/>
  <headerFooter>
    <oddFooter>&amp;L&amp;F&amp;CPage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7030A0"/>
  </sheetPr>
  <dimension ref="A1:AQ86"/>
  <sheetViews>
    <sheetView zoomScale="80" zoomScaleNormal="80" workbookViewId="0"/>
  </sheetViews>
  <sheetFormatPr defaultColWidth="9.25" defaultRowHeight="12.45"/>
  <cols>
    <col min="1" max="1" width="1.75" style="175" customWidth="1"/>
    <col min="2" max="2" width="3.625" style="48" customWidth="1"/>
    <col min="3" max="3" width="5.375" style="48" customWidth="1"/>
    <col min="4" max="4" width="80.375" style="48" customWidth="1"/>
    <col min="5" max="5" width="15" style="48" customWidth="1"/>
    <col min="6" max="7" width="19.375" style="5" customWidth="1"/>
    <col min="8" max="8" width="19.375" style="8" customWidth="1"/>
    <col min="9" max="12" width="19.375" style="5" customWidth="1"/>
    <col min="13" max="13" width="19.375" style="8" customWidth="1"/>
    <col min="14" max="17" width="19.375" style="5" customWidth="1"/>
    <col min="18" max="18" width="19.375" style="8" customWidth="1"/>
    <col min="19" max="22" width="19.375" style="5" customWidth="1"/>
    <col min="23" max="23" width="19.375" style="8" customWidth="1"/>
    <col min="24" max="25" width="19.375" style="5" customWidth="1"/>
    <col min="26" max="26" width="19.375" style="8" customWidth="1"/>
    <col min="27" max="28" width="19.375" style="5" customWidth="1"/>
    <col min="29" max="30" width="19.375" style="8" customWidth="1"/>
    <col min="31" max="31" width="19.375" style="5" customWidth="1"/>
    <col min="32" max="32" width="19.375" style="8" customWidth="1"/>
    <col min="33" max="36" width="19.375" style="5" customWidth="1"/>
    <col min="37" max="37" width="19.375" style="8" customWidth="1"/>
    <col min="38" max="43" width="19.375" style="5" customWidth="1"/>
    <col min="44" max="16384" width="9.25" style="5"/>
  </cols>
  <sheetData>
    <row r="1" spans="1:43" s="48" customFormat="1" ht="13.1">
      <c r="A1" s="175"/>
      <c r="B1" s="47" t="s">
        <v>0</v>
      </c>
      <c r="H1" s="175"/>
      <c r="M1" s="175"/>
      <c r="R1" s="175"/>
      <c r="W1" s="175"/>
      <c r="Z1" s="175"/>
      <c r="AC1" s="175"/>
      <c r="AD1" s="175"/>
      <c r="AF1" s="175"/>
      <c r="AK1" s="175"/>
    </row>
    <row r="2" spans="1:43" s="48" customFormat="1" ht="15.05">
      <c r="A2" s="175"/>
      <c r="B2" s="1" t="s">
        <v>317</v>
      </c>
      <c r="E2" s="176"/>
      <c r="H2" s="175"/>
      <c r="M2" s="175"/>
      <c r="R2" s="175"/>
      <c r="U2" s="47"/>
      <c r="W2" s="175"/>
      <c r="X2" s="47"/>
      <c r="Z2" s="175"/>
      <c r="AC2" s="175"/>
      <c r="AD2" s="175"/>
      <c r="AF2" s="175"/>
      <c r="AK2" s="175"/>
    </row>
    <row r="3" spans="1:43" s="48" customFormat="1" ht="13.1">
      <c r="A3" s="177"/>
      <c r="B3" s="47" t="s">
        <v>223</v>
      </c>
      <c r="H3" s="175"/>
      <c r="M3" s="175"/>
      <c r="R3" s="175"/>
      <c r="U3" s="47"/>
      <c r="W3" s="175"/>
      <c r="X3" s="47"/>
      <c r="Z3" s="175"/>
      <c r="AC3" s="175"/>
      <c r="AD3" s="175"/>
      <c r="AF3" s="175"/>
      <c r="AK3" s="175"/>
    </row>
    <row r="4" spans="1:43" s="48" customFormat="1" ht="13.1">
      <c r="A4" s="175"/>
      <c r="B4" s="178"/>
      <c r="H4" s="175"/>
      <c r="M4" s="175"/>
      <c r="R4" s="175"/>
      <c r="U4" s="47"/>
      <c r="W4" s="175"/>
      <c r="X4" s="47"/>
      <c r="Z4" s="175"/>
      <c r="AC4" s="175"/>
      <c r="AD4" s="175"/>
      <c r="AF4" s="175"/>
      <c r="AK4" s="175"/>
    </row>
    <row r="5" spans="1:43" s="49" customFormat="1" ht="13.1">
      <c r="A5" s="53"/>
      <c r="B5" s="50"/>
      <c r="E5" s="50"/>
      <c r="F5" s="48"/>
      <c r="G5" s="48"/>
      <c r="H5" s="175"/>
      <c r="I5" s="47"/>
      <c r="J5" s="48"/>
      <c r="K5" s="48"/>
      <c r="M5" s="53"/>
      <c r="N5" s="48"/>
      <c r="P5" s="48"/>
      <c r="Q5" s="48"/>
      <c r="R5" s="175"/>
      <c r="S5" s="48"/>
      <c r="W5" s="53"/>
      <c r="Z5" s="53"/>
      <c r="AC5" s="53"/>
      <c r="AD5" s="53"/>
      <c r="AF5" s="53"/>
      <c r="AK5" s="53"/>
    </row>
    <row r="6" spans="1:43" s="49" customFormat="1" ht="13.1">
      <c r="A6" s="53"/>
      <c r="B6" s="96"/>
      <c r="C6" s="96"/>
      <c r="D6" s="179"/>
      <c r="F6" s="529"/>
      <c r="G6" s="529"/>
      <c r="H6" s="175"/>
      <c r="I6" s="121"/>
      <c r="J6" s="218"/>
      <c r="K6" s="48"/>
      <c r="L6" s="67"/>
      <c r="M6" s="67"/>
      <c r="N6" s="67"/>
      <c r="O6" s="75"/>
      <c r="R6" s="53"/>
      <c r="W6" s="53"/>
      <c r="Z6" s="53"/>
      <c r="AC6" s="53"/>
      <c r="AD6" s="53"/>
      <c r="AF6" s="53"/>
      <c r="AK6" s="53"/>
    </row>
    <row r="7" spans="1:43" s="49" customFormat="1">
      <c r="A7" s="53"/>
      <c r="B7" s="50"/>
      <c r="F7" s="48"/>
      <c r="G7" s="48"/>
      <c r="H7" s="175"/>
      <c r="I7" s="48"/>
      <c r="K7" s="48"/>
      <c r="L7" s="175" t="s">
        <v>122</v>
      </c>
      <c r="M7" s="175"/>
      <c r="N7" s="48"/>
      <c r="R7" s="53"/>
      <c r="W7" s="53"/>
      <c r="Z7" s="53"/>
      <c r="AC7" s="53"/>
      <c r="AD7" s="53"/>
      <c r="AF7" s="53"/>
      <c r="AK7" s="53"/>
    </row>
    <row r="8" spans="1:43" s="49" customFormat="1">
      <c r="A8" s="53"/>
      <c r="B8" s="96"/>
      <c r="C8" s="96"/>
      <c r="D8" s="179"/>
      <c r="F8" s="529"/>
      <c r="G8" s="529"/>
      <c r="H8" s="175"/>
      <c r="I8" s="529"/>
      <c r="J8" s="542"/>
      <c r="K8" s="48"/>
      <c r="L8" s="540" t="s">
        <v>240</v>
      </c>
      <c r="M8" s="541"/>
      <c r="N8" s="48"/>
      <c r="P8" s="48"/>
      <c r="Q8" s="48"/>
      <c r="R8" s="175"/>
      <c r="S8" s="48"/>
      <c r="W8" s="53"/>
      <c r="Z8" s="53"/>
      <c r="AC8" s="53"/>
      <c r="AD8" s="53"/>
      <c r="AF8" s="53"/>
      <c r="AK8" s="53"/>
    </row>
    <row r="9" spans="1:43" s="49" customFormat="1" ht="13.1">
      <c r="A9" s="53"/>
      <c r="D9" s="64"/>
      <c r="F9" s="51"/>
      <c r="G9" s="51"/>
      <c r="H9" s="175"/>
      <c r="I9" s="49" t="s">
        <v>51</v>
      </c>
      <c r="M9" s="53"/>
      <c r="N9" s="48"/>
      <c r="O9" s="219"/>
      <c r="P9" s="48"/>
      <c r="Q9" s="48"/>
      <c r="R9" s="175"/>
      <c r="S9" s="48"/>
      <c r="W9" s="53"/>
      <c r="Z9" s="53"/>
      <c r="AC9" s="53"/>
      <c r="AD9" s="53"/>
      <c r="AF9" s="53"/>
      <c r="AK9" s="53"/>
    </row>
    <row r="10" spans="1:43" s="49" customFormat="1" ht="13.1">
      <c r="A10" s="53"/>
      <c r="D10" s="180"/>
      <c r="F10" s="529"/>
      <c r="G10" s="529"/>
      <c r="H10" s="175"/>
      <c r="I10" s="540"/>
      <c r="J10" s="543"/>
      <c r="L10" s="529"/>
      <c r="M10" s="529"/>
      <c r="N10" s="48"/>
      <c r="O10" s="219"/>
      <c r="P10" s="48"/>
      <c r="Q10" s="48"/>
      <c r="R10" s="175"/>
      <c r="S10" s="48"/>
      <c r="W10" s="53"/>
      <c r="Z10" s="53"/>
      <c r="AC10" s="53"/>
      <c r="AD10" s="53"/>
      <c r="AF10" s="53"/>
      <c r="AK10" s="53"/>
    </row>
    <row r="11" spans="1:43" s="49" customFormat="1" ht="13.1">
      <c r="A11" s="53"/>
      <c r="D11" s="64"/>
      <c r="F11" s="51"/>
      <c r="G11" s="51"/>
      <c r="H11" s="175"/>
      <c r="L11" s="52" t="s">
        <v>105</v>
      </c>
      <c r="M11" s="67"/>
      <c r="N11" s="48"/>
      <c r="O11" s="219"/>
      <c r="P11" s="48"/>
      <c r="Q11" s="48"/>
      <c r="R11" s="175"/>
      <c r="S11" s="48"/>
      <c r="W11" s="53"/>
      <c r="Z11" s="53"/>
      <c r="AC11" s="53"/>
      <c r="AD11" s="53"/>
      <c r="AF11" s="53"/>
      <c r="AK11" s="53"/>
    </row>
    <row r="12" spans="1:43" s="49" customFormat="1" ht="13.1">
      <c r="A12" s="53"/>
      <c r="D12" s="181"/>
      <c r="F12" s="529"/>
      <c r="G12" s="529"/>
      <c r="H12" s="175"/>
      <c r="I12" s="529"/>
      <c r="J12" s="542"/>
      <c r="L12" s="546">
        <v>2012</v>
      </c>
      <c r="M12" s="546"/>
      <c r="N12" s="48"/>
      <c r="O12" s="219"/>
      <c r="P12" s="48"/>
      <c r="Q12" s="48"/>
      <c r="R12" s="175"/>
      <c r="S12" s="48"/>
      <c r="W12" s="53"/>
      <c r="Z12" s="53"/>
      <c r="AC12" s="53"/>
      <c r="AD12" s="53"/>
      <c r="AF12" s="53"/>
      <c r="AK12" s="53"/>
    </row>
    <row r="13" spans="1:43" s="49" customFormat="1">
      <c r="A13" s="53"/>
      <c r="B13" s="48"/>
      <c r="C13" s="48"/>
      <c r="D13" s="182"/>
      <c r="H13" s="53"/>
      <c r="K13" s="65"/>
      <c r="L13" s="65"/>
      <c r="M13" s="66"/>
      <c r="N13" s="52"/>
      <c r="P13" s="48"/>
      <c r="Q13" s="48"/>
      <c r="R13" s="175"/>
      <c r="S13" s="48"/>
      <c r="W13" s="53"/>
      <c r="Z13" s="53"/>
      <c r="AC13" s="53"/>
      <c r="AD13" s="53"/>
      <c r="AF13" s="53"/>
      <c r="AK13" s="53"/>
    </row>
    <row r="14" spans="1:43" s="49" customFormat="1" ht="13.1" thickBot="1">
      <c r="A14" s="53"/>
      <c r="B14" s="48"/>
      <c r="C14" s="48"/>
      <c r="D14" s="175"/>
      <c r="H14" s="53"/>
      <c r="K14" s="65"/>
      <c r="L14" s="65"/>
      <c r="M14" s="66"/>
      <c r="N14" s="52"/>
      <c r="P14" s="48"/>
      <c r="Q14" s="48"/>
      <c r="R14" s="175"/>
      <c r="S14" s="48"/>
      <c r="W14" s="53"/>
      <c r="Z14" s="53"/>
      <c r="AB14" s="48"/>
      <c r="AC14" s="175"/>
      <c r="AD14" s="175"/>
      <c r="AE14" s="48"/>
      <c r="AF14" s="175"/>
      <c r="AG14" s="48"/>
      <c r="AH14" s="48"/>
      <c r="AI14" s="48"/>
      <c r="AJ14" s="48"/>
      <c r="AK14" s="175"/>
      <c r="AL14" s="48"/>
      <c r="AM14" s="48"/>
    </row>
    <row r="15" spans="1:43" s="48" customFormat="1" ht="13.75" customHeight="1" thickBot="1">
      <c r="A15" s="175"/>
      <c r="D15" s="175"/>
      <c r="F15" s="534" t="s">
        <v>123</v>
      </c>
      <c r="G15" s="535"/>
      <c r="H15" s="535"/>
      <c r="I15" s="535"/>
      <c r="J15" s="535"/>
      <c r="K15" s="535"/>
      <c r="L15" s="535"/>
      <c r="M15" s="535"/>
      <c r="N15" s="535"/>
      <c r="O15" s="535"/>
      <c r="P15" s="535"/>
      <c r="Q15" s="535"/>
      <c r="R15" s="535"/>
      <c r="S15" s="535"/>
      <c r="T15" s="536"/>
      <c r="U15" s="534" t="s">
        <v>66</v>
      </c>
      <c r="V15" s="535"/>
      <c r="W15" s="535"/>
      <c r="X15" s="535"/>
      <c r="Y15" s="535"/>
      <c r="Z15" s="535"/>
      <c r="AA15" s="535"/>
      <c r="AB15" s="535"/>
      <c r="AC15" s="556"/>
      <c r="AD15" s="534" t="s">
        <v>52</v>
      </c>
      <c r="AE15" s="535"/>
      <c r="AF15" s="535"/>
      <c r="AG15" s="535"/>
      <c r="AH15" s="535"/>
      <c r="AI15" s="535"/>
      <c r="AJ15" s="535"/>
      <c r="AK15" s="535"/>
      <c r="AL15" s="535"/>
      <c r="AM15" s="536"/>
      <c r="AN15" s="530" t="s">
        <v>101</v>
      </c>
      <c r="AO15" s="530" t="s">
        <v>83</v>
      </c>
      <c r="AP15" s="532" t="s">
        <v>67</v>
      </c>
      <c r="AQ15" s="530" t="s">
        <v>57</v>
      </c>
    </row>
    <row r="16" spans="1:43" s="48" customFormat="1" ht="13.1" thickBot="1">
      <c r="A16" s="175"/>
      <c r="D16" s="183"/>
      <c r="F16" s="537" t="s">
        <v>43</v>
      </c>
      <c r="G16" s="538"/>
      <c r="H16" s="538"/>
      <c r="I16" s="538"/>
      <c r="J16" s="539"/>
      <c r="K16" s="537" t="s">
        <v>44</v>
      </c>
      <c r="L16" s="538"/>
      <c r="M16" s="538"/>
      <c r="N16" s="538"/>
      <c r="O16" s="539"/>
      <c r="P16" s="537" t="s">
        <v>45</v>
      </c>
      <c r="Q16" s="538"/>
      <c r="R16" s="538"/>
      <c r="S16" s="538"/>
      <c r="T16" s="539"/>
      <c r="U16" s="537" t="s">
        <v>43</v>
      </c>
      <c r="V16" s="538"/>
      <c r="W16" s="555"/>
      <c r="X16" s="537" t="s">
        <v>44</v>
      </c>
      <c r="Y16" s="538"/>
      <c r="Z16" s="555"/>
      <c r="AA16" s="537" t="s">
        <v>45</v>
      </c>
      <c r="AB16" s="538"/>
      <c r="AC16" s="555"/>
      <c r="AD16" s="537" t="s">
        <v>44</v>
      </c>
      <c r="AE16" s="538"/>
      <c r="AF16" s="538"/>
      <c r="AG16" s="538"/>
      <c r="AH16" s="539"/>
      <c r="AI16" s="537" t="s">
        <v>45</v>
      </c>
      <c r="AJ16" s="538"/>
      <c r="AK16" s="538"/>
      <c r="AL16" s="538"/>
      <c r="AM16" s="539"/>
      <c r="AN16" s="531"/>
      <c r="AO16" s="531"/>
      <c r="AP16" s="533"/>
      <c r="AQ16" s="531"/>
    </row>
    <row r="17" spans="1:43" s="48" customFormat="1" ht="25.55" thickBot="1">
      <c r="A17" s="175"/>
      <c r="B17" s="547" t="s">
        <v>318</v>
      </c>
      <c r="C17" s="548"/>
      <c r="D17" s="549"/>
      <c r="E17" s="553" t="s">
        <v>78</v>
      </c>
      <c r="F17" s="220" t="s">
        <v>303</v>
      </c>
      <c r="G17" s="221" t="s">
        <v>304</v>
      </c>
      <c r="H17" s="222" t="s">
        <v>305</v>
      </c>
      <c r="I17" s="223" t="s">
        <v>125</v>
      </c>
      <c r="J17" s="224" t="s">
        <v>55</v>
      </c>
      <c r="K17" s="220" t="s">
        <v>303</v>
      </c>
      <c r="L17" s="221" t="s">
        <v>304</v>
      </c>
      <c r="M17" s="222" t="s">
        <v>305</v>
      </c>
      <c r="N17" s="223" t="s">
        <v>125</v>
      </c>
      <c r="O17" s="224" t="s">
        <v>55</v>
      </c>
      <c r="P17" s="220" t="s">
        <v>303</v>
      </c>
      <c r="Q17" s="221" t="s">
        <v>304</v>
      </c>
      <c r="R17" s="222" t="s">
        <v>305</v>
      </c>
      <c r="S17" s="223" t="s">
        <v>125</v>
      </c>
      <c r="T17" s="224" t="s">
        <v>55</v>
      </c>
      <c r="U17" s="220" t="s">
        <v>303</v>
      </c>
      <c r="V17" s="221" t="s">
        <v>304</v>
      </c>
      <c r="W17" s="222" t="s">
        <v>305</v>
      </c>
      <c r="X17" s="220" t="s">
        <v>303</v>
      </c>
      <c r="Y17" s="221" t="s">
        <v>304</v>
      </c>
      <c r="Z17" s="222" t="s">
        <v>305</v>
      </c>
      <c r="AA17" s="220" t="s">
        <v>303</v>
      </c>
      <c r="AB17" s="221" t="s">
        <v>304</v>
      </c>
      <c r="AC17" s="222" t="s">
        <v>305</v>
      </c>
      <c r="AD17" s="220" t="s">
        <v>303</v>
      </c>
      <c r="AE17" s="221" t="s">
        <v>304</v>
      </c>
      <c r="AF17" s="222" t="s">
        <v>305</v>
      </c>
      <c r="AG17" s="223" t="s">
        <v>125</v>
      </c>
      <c r="AH17" s="224" t="s">
        <v>55</v>
      </c>
      <c r="AI17" s="220" t="s">
        <v>303</v>
      </c>
      <c r="AJ17" s="221" t="s">
        <v>304</v>
      </c>
      <c r="AK17" s="222" t="s">
        <v>305</v>
      </c>
      <c r="AL17" s="223" t="s">
        <v>125</v>
      </c>
      <c r="AM17" s="224" t="s">
        <v>55</v>
      </c>
      <c r="AN17" s="220" t="s">
        <v>303</v>
      </c>
      <c r="AO17" s="220" t="s">
        <v>303</v>
      </c>
      <c r="AP17" s="220" t="s">
        <v>303</v>
      </c>
      <c r="AQ17" s="225" t="s">
        <v>303</v>
      </c>
    </row>
    <row r="18" spans="1:43" s="175" customFormat="1" ht="13.1" thickBot="1">
      <c r="B18" s="550"/>
      <c r="C18" s="551"/>
      <c r="D18" s="552"/>
      <c r="E18" s="554"/>
      <c r="F18" s="226">
        <v>1</v>
      </c>
      <c r="G18" s="227">
        <v>2</v>
      </c>
      <c r="H18" s="227">
        <v>3</v>
      </c>
      <c r="I18" s="228">
        <v>4</v>
      </c>
      <c r="J18" s="229">
        <v>5</v>
      </c>
      <c r="K18" s="226">
        <v>6</v>
      </c>
      <c r="L18" s="227">
        <v>7</v>
      </c>
      <c r="M18" s="227">
        <v>8</v>
      </c>
      <c r="N18" s="228">
        <v>9</v>
      </c>
      <c r="O18" s="229">
        <v>10</v>
      </c>
      <c r="P18" s="226">
        <v>11</v>
      </c>
      <c r="Q18" s="227">
        <v>12</v>
      </c>
      <c r="R18" s="227">
        <v>13</v>
      </c>
      <c r="S18" s="228">
        <v>14</v>
      </c>
      <c r="T18" s="228">
        <v>15</v>
      </c>
      <c r="U18" s="226">
        <v>16</v>
      </c>
      <c r="V18" s="230">
        <v>17</v>
      </c>
      <c r="W18" s="231">
        <v>18</v>
      </c>
      <c r="X18" s="226">
        <v>19</v>
      </c>
      <c r="Y18" s="230">
        <v>20</v>
      </c>
      <c r="Z18" s="231">
        <v>21</v>
      </c>
      <c r="AA18" s="226">
        <v>22</v>
      </c>
      <c r="AB18" s="230">
        <v>23</v>
      </c>
      <c r="AC18" s="231">
        <v>24</v>
      </c>
      <c r="AD18" s="226">
        <v>25</v>
      </c>
      <c r="AE18" s="227">
        <v>26</v>
      </c>
      <c r="AF18" s="227">
        <v>27</v>
      </c>
      <c r="AG18" s="228">
        <v>28</v>
      </c>
      <c r="AH18" s="228">
        <v>29</v>
      </c>
      <c r="AI18" s="226">
        <v>30</v>
      </c>
      <c r="AJ18" s="227">
        <v>31</v>
      </c>
      <c r="AK18" s="227">
        <v>32</v>
      </c>
      <c r="AL18" s="228">
        <v>33</v>
      </c>
      <c r="AM18" s="232">
        <v>34</v>
      </c>
      <c r="AN18" s="233">
        <v>35</v>
      </c>
      <c r="AO18" s="230">
        <v>36</v>
      </c>
      <c r="AP18" s="233">
        <v>37</v>
      </c>
      <c r="AQ18" s="234">
        <v>38</v>
      </c>
    </row>
    <row r="19" spans="1:43">
      <c r="B19" s="184" t="s">
        <v>1</v>
      </c>
      <c r="C19" s="185" t="s">
        <v>103</v>
      </c>
      <c r="D19" s="186"/>
      <c r="E19" s="405"/>
      <c r="F19" s="416"/>
      <c r="G19" s="439"/>
      <c r="H19" s="439"/>
      <c r="I19" s="440"/>
      <c r="J19" s="441"/>
      <c r="K19" s="416"/>
      <c r="L19" s="442"/>
      <c r="M19" s="442"/>
      <c r="N19" s="414"/>
      <c r="O19" s="415"/>
      <c r="P19" s="416"/>
      <c r="Q19" s="442"/>
      <c r="R19" s="442"/>
      <c r="S19" s="414"/>
      <c r="T19" s="417"/>
      <c r="U19" s="416"/>
      <c r="V19" s="419"/>
      <c r="W19" s="419"/>
      <c r="X19" s="416"/>
      <c r="Y19" s="419"/>
      <c r="Z19" s="419"/>
      <c r="AA19" s="416"/>
      <c r="AB19" s="419"/>
      <c r="AC19" s="419"/>
      <c r="AD19" s="443"/>
      <c r="AE19" s="442"/>
      <c r="AF19" s="442"/>
      <c r="AG19" s="414"/>
      <c r="AH19" s="417"/>
      <c r="AI19" s="443"/>
      <c r="AJ19" s="439"/>
      <c r="AK19" s="439"/>
      <c r="AL19" s="440"/>
      <c r="AM19" s="441"/>
      <c r="AN19" s="444"/>
      <c r="AO19" s="445"/>
      <c r="AP19" s="446"/>
      <c r="AQ19" s="447"/>
    </row>
    <row r="20" spans="1:43">
      <c r="B20" s="187"/>
      <c r="C20" s="188">
        <v>1.1000000000000001</v>
      </c>
      <c r="D20" s="189" t="s">
        <v>133</v>
      </c>
      <c r="E20" s="190" t="s">
        <v>97</v>
      </c>
      <c r="F20" s="475">
        <f>'Pt 2 - Premium and Claims'!F20+'Pt 2 - Premium and Claims'!F21-'Pt 2 - Premium and Claims'!F22-'Pt 2 - Premium and Claims'!F28+'Pt 2 - Premium and Claims'!F29</f>
        <v>0</v>
      </c>
      <c r="G20" s="153">
        <f>'Pt 2 - Premium and Claims'!G20+'Pt 2 - Premium and Claims'!G21-'Pt 2 - Premium and Claims'!G22-'Pt 2 - Premium and Claims'!G28+'Pt 2 - Premium and Claims'!G29</f>
        <v>0</v>
      </c>
      <c r="H20" s="153">
        <f>'Pt 2 - Premium and Claims'!H20+'Pt 2 - Premium and Claims'!H21-'Pt 2 - Premium and Claims'!H22-'Pt 2 - Premium and Claims'!H28+'Pt 2 - Premium and Claims'!H29</f>
        <v>0</v>
      </c>
      <c r="I20" s="153">
        <f>'Pt 2 - Premium and Claims'!I20+'Pt 2 - Premium and Claims'!I21-'Pt 2 - Premium and Claims'!I22-'Pt 2 - Premium and Claims'!I28+'Pt 2 - Premium and Claims'!I29</f>
        <v>0</v>
      </c>
      <c r="J20" s="476">
        <f>'Pt 2 - Premium and Claims'!J20+'Pt 2 - Premium and Claims'!J21-'Pt 2 - Premium and Claims'!J22-'Pt 2 - Premium and Claims'!J28+'Pt 2 - Premium and Claims'!J29</f>
        <v>0</v>
      </c>
      <c r="K20" s="475">
        <f>'Pt 2 - Premium and Claims'!K20+'Pt 2 - Premium and Claims'!K21-'Pt 2 - Premium and Claims'!K22-'Pt 2 - Premium and Claims'!K28+'Pt 2 - Premium and Claims'!K29</f>
        <v>0</v>
      </c>
      <c r="L20" s="153">
        <f>'Pt 2 - Premium and Claims'!L20+'Pt 2 - Premium and Claims'!L21-'Pt 2 - Premium and Claims'!L22-'Pt 2 - Premium and Claims'!L28+'Pt 2 - Premium and Claims'!L29</f>
        <v>0</v>
      </c>
      <c r="M20" s="153">
        <f>'Pt 2 - Premium and Claims'!M20+'Pt 2 - Premium and Claims'!M21-'Pt 2 - Premium and Claims'!M22-'Pt 2 - Premium and Claims'!M28+'Pt 2 - Premium and Claims'!M29</f>
        <v>0</v>
      </c>
      <c r="N20" s="153">
        <f>'Pt 2 - Premium and Claims'!N20+'Pt 2 - Premium and Claims'!N21-'Pt 2 - Premium and Claims'!N22-'Pt 2 - Premium and Claims'!N28+'Pt 2 - Premium and Claims'!N29</f>
        <v>0</v>
      </c>
      <c r="O20" s="476">
        <f>'Pt 2 - Premium and Claims'!O20+'Pt 2 - Premium and Claims'!O21-'Pt 2 - Premium and Claims'!O22-'Pt 2 - Premium and Claims'!O28+'Pt 2 - Premium and Claims'!O29</f>
        <v>0</v>
      </c>
      <c r="P20" s="475">
        <f>'Pt 2 - Premium and Claims'!P20+'Pt 2 - Premium and Claims'!P21-'Pt 2 - Premium and Claims'!P22-'Pt 2 - Premium and Claims'!P28+'Pt 2 - Premium and Claims'!P29</f>
        <v>0</v>
      </c>
      <c r="Q20" s="153">
        <f>'Pt 2 - Premium and Claims'!Q20+'Pt 2 - Premium and Claims'!Q21-'Pt 2 - Premium and Claims'!Q22-'Pt 2 - Premium and Claims'!Q28+'Pt 2 - Premium and Claims'!Q29</f>
        <v>0</v>
      </c>
      <c r="R20" s="153">
        <f>'Pt 2 - Premium and Claims'!R20+'Pt 2 - Premium and Claims'!R21-'Pt 2 - Premium and Claims'!R22-'Pt 2 - Premium and Claims'!R28+'Pt 2 - Premium and Claims'!R29</f>
        <v>0</v>
      </c>
      <c r="S20" s="153">
        <f>'Pt 2 - Premium and Claims'!S20+'Pt 2 - Premium and Claims'!S21-'Pt 2 - Premium and Claims'!S22-'Pt 2 - Premium and Claims'!S28+'Pt 2 - Premium and Claims'!S29</f>
        <v>0</v>
      </c>
      <c r="T20" s="477">
        <f>'Pt 2 - Premium and Claims'!T20+'Pt 2 - Premium and Claims'!T21-'Pt 2 - Premium and Claims'!T22-'Pt 2 - Premium and Claims'!T28+'Pt 2 - Premium and Claims'!T29</f>
        <v>0</v>
      </c>
      <c r="U20" s="475">
        <f>'Pt 2 - Premium and Claims'!U20+'Pt 2 - Premium and Claims'!U21-'Pt 2 - Premium and Claims'!U22-'Pt 2 - Premium and Claims'!U28+'Pt 2 - Premium and Claims'!U29</f>
        <v>0</v>
      </c>
      <c r="V20" s="477">
        <f>'Pt 2 - Premium and Claims'!V20+'Pt 2 - Premium and Claims'!V21-'Pt 2 - Premium and Claims'!V22-'Pt 2 - Premium and Claims'!V28+'Pt 2 - Premium and Claims'!V29</f>
        <v>0</v>
      </c>
      <c r="W20" s="477">
        <f>'Pt 2 - Premium and Claims'!W20+'Pt 2 - Premium and Claims'!W21-'Pt 2 - Premium and Claims'!W22-'Pt 2 - Premium and Claims'!W28+'Pt 2 - Premium and Claims'!W29</f>
        <v>0</v>
      </c>
      <c r="X20" s="475">
        <f>'Pt 2 - Premium and Claims'!X20+'Pt 2 - Premium and Claims'!X21-'Pt 2 - Premium and Claims'!X22-'Pt 2 - Premium and Claims'!X28+'Pt 2 - Premium and Claims'!X29</f>
        <v>0</v>
      </c>
      <c r="Y20" s="477">
        <f>'Pt 2 - Premium and Claims'!Y20+'Pt 2 - Premium and Claims'!Y21-'Pt 2 - Premium and Claims'!Y22-'Pt 2 - Premium and Claims'!Y28+'Pt 2 - Premium and Claims'!Y29</f>
        <v>0</v>
      </c>
      <c r="Z20" s="477">
        <f>'Pt 2 - Premium and Claims'!Z20+'Pt 2 - Premium and Claims'!Z21-'Pt 2 - Premium and Claims'!Z22-'Pt 2 - Premium and Claims'!Z28+'Pt 2 - Premium and Claims'!Z29</f>
        <v>0</v>
      </c>
      <c r="AA20" s="475">
        <f>'Pt 2 - Premium and Claims'!AA20+'Pt 2 - Premium and Claims'!AA21-'Pt 2 - Premium and Claims'!AA22-'Pt 2 - Premium and Claims'!AA28+'Pt 2 - Premium and Claims'!AA29</f>
        <v>0</v>
      </c>
      <c r="AB20" s="477">
        <f>'Pt 2 - Premium and Claims'!AB20+'Pt 2 - Premium and Claims'!AB21-'Pt 2 - Premium and Claims'!AB22-'Pt 2 - Premium and Claims'!AB28+'Pt 2 - Premium and Claims'!AB29</f>
        <v>0</v>
      </c>
      <c r="AC20" s="477">
        <f>'Pt 2 - Premium and Claims'!AC20+'Pt 2 - Premium and Claims'!AC21-'Pt 2 - Premium and Claims'!AC22-'Pt 2 - Premium and Claims'!AC28+'Pt 2 - Premium and Claims'!AC29</f>
        <v>0</v>
      </c>
      <c r="AD20" s="475">
        <f>'Pt 2 - Premium and Claims'!AD20+'Pt 2 - Premium and Claims'!AD21-'Pt 2 - Premium and Claims'!AD22-'Pt 2 - Premium and Claims'!AD28+'Pt 2 - Premium and Claims'!AD29</f>
        <v>0</v>
      </c>
      <c r="AE20" s="153">
        <f>'Pt 2 - Premium and Claims'!AE20+'Pt 2 - Premium and Claims'!AE21-'Pt 2 - Premium and Claims'!AE22-'Pt 2 - Premium and Claims'!AE28+'Pt 2 - Premium and Claims'!AE29</f>
        <v>0</v>
      </c>
      <c r="AF20" s="153">
        <f>'Pt 2 - Premium and Claims'!AF20+'Pt 2 - Premium and Claims'!AF21-'Pt 2 - Premium and Claims'!AF22-'Pt 2 - Premium and Claims'!AF28+'Pt 2 - Premium and Claims'!AF29</f>
        <v>0</v>
      </c>
      <c r="AG20" s="153">
        <f>'Pt 2 - Premium and Claims'!AG20+'Pt 2 - Premium and Claims'!AG21-'Pt 2 - Premium and Claims'!AG22-'Pt 2 - Premium and Claims'!AG28+'Pt 2 - Premium and Claims'!AG29</f>
        <v>0</v>
      </c>
      <c r="AH20" s="477">
        <f>'Pt 2 - Premium and Claims'!AH20+'Pt 2 - Premium and Claims'!AH21-'Pt 2 - Premium and Claims'!AH22-'Pt 2 - Premium and Claims'!AH28+'Pt 2 - Premium and Claims'!AH29</f>
        <v>0</v>
      </c>
      <c r="AI20" s="475">
        <f>'Pt 2 - Premium and Claims'!AI20+'Pt 2 - Premium and Claims'!AI21-'Pt 2 - Premium and Claims'!AI22-'Pt 2 - Premium and Claims'!AI28+'Pt 2 - Premium and Claims'!AI29</f>
        <v>0</v>
      </c>
      <c r="AJ20" s="153">
        <f>'Pt 2 - Premium and Claims'!AJ20+'Pt 2 - Premium and Claims'!AJ21-'Pt 2 - Premium and Claims'!AJ22-'Pt 2 - Premium and Claims'!AJ28+'Pt 2 - Premium and Claims'!AJ29</f>
        <v>0</v>
      </c>
      <c r="AK20" s="153">
        <f>'Pt 2 - Premium and Claims'!AK20+'Pt 2 - Premium and Claims'!AK21-'Pt 2 - Premium and Claims'!AK22-'Pt 2 - Premium and Claims'!AK28+'Pt 2 - Premium and Claims'!AK29</f>
        <v>0</v>
      </c>
      <c r="AL20" s="153">
        <f>'Pt 2 - Premium and Claims'!AL20+'Pt 2 - Premium and Claims'!AL21-'Pt 2 - Premium and Claims'!AL22-'Pt 2 - Premium and Claims'!AL28+'Pt 2 - Premium and Claims'!AL29</f>
        <v>0</v>
      </c>
      <c r="AM20" s="476">
        <f>'Pt 2 - Premium and Claims'!AM20+'Pt 2 - Premium and Claims'!AM21-'Pt 2 - Premium and Claims'!AM22-'Pt 2 - Premium and Claims'!AM28+'Pt 2 - Premium and Claims'!AM29</f>
        <v>0</v>
      </c>
      <c r="AN20" s="478">
        <f>'Pt 2 - Premium and Claims'!AN20+'Pt 2 - Premium and Claims'!AN21-'Pt 2 - Premium and Claims'!AN22-'Pt 2 - Premium and Claims'!AN28+'Pt 2 - Premium and Claims'!AN29</f>
        <v>0</v>
      </c>
      <c r="AO20" s="479">
        <f>'Pt 2 - Premium and Claims'!AO20+'Pt 2 - Premium and Claims'!AO21-'Pt 2 - Premium and Claims'!AO22-'Pt 2 - Premium and Claims'!AO28+'Pt 2 - Premium and Claims'!AO29</f>
        <v>0</v>
      </c>
      <c r="AP20" s="480">
        <f>'Pt 2 - Premium and Claims'!AP20+'Pt 2 - Premium and Claims'!AP21-'Pt 2 - Premium and Claims'!AP22-'Pt 2 - Premium and Claims'!AP28+'Pt 2 - Premium and Claims'!AP29</f>
        <v>0</v>
      </c>
      <c r="AQ20" s="235"/>
    </row>
    <row r="21" spans="1:43">
      <c r="B21" s="187"/>
      <c r="C21" s="188">
        <v>1.2</v>
      </c>
      <c r="D21" s="191" t="s">
        <v>179</v>
      </c>
      <c r="E21" s="190" t="s">
        <v>23</v>
      </c>
      <c r="F21" s="54"/>
      <c r="G21" s="55"/>
      <c r="H21" s="55"/>
      <c r="I21" s="236"/>
      <c r="J21" s="102"/>
      <c r="K21" s="54"/>
      <c r="L21" s="55"/>
      <c r="M21" s="55"/>
      <c r="N21" s="55"/>
      <c r="O21" s="89"/>
      <c r="P21" s="54"/>
      <c r="Q21" s="55"/>
      <c r="R21" s="55"/>
      <c r="S21" s="55"/>
      <c r="T21" s="84"/>
      <c r="U21" s="54"/>
      <c r="V21" s="84"/>
      <c r="W21" s="84"/>
      <c r="X21" s="54"/>
      <c r="Y21" s="84"/>
      <c r="Z21" s="84"/>
      <c r="AA21" s="54"/>
      <c r="AB21" s="84"/>
      <c r="AC21" s="84"/>
      <c r="AD21" s="54"/>
      <c r="AE21" s="55"/>
      <c r="AF21" s="55"/>
      <c r="AG21" s="55"/>
      <c r="AH21" s="84"/>
      <c r="AI21" s="54"/>
      <c r="AJ21" s="55"/>
      <c r="AK21" s="55"/>
      <c r="AL21" s="55"/>
      <c r="AM21" s="89"/>
      <c r="AN21" s="63"/>
      <c r="AO21" s="86"/>
      <c r="AP21" s="57"/>
      <c r="AQ21" s="237"/>
    </row>
    <row r="22" spans="1:43">
      <c r="B22" s="187"/>
      <c r="C22" s="188">
        <v>1.3</v>
      </c>
      <c r="D22" s="191" t="s">
        <v>180</v>
      </c>
      <c r="E22" s="190" t="s">
        <v>24</v>
      </c>
      <c r="F22" s="54"/>
      <c r="G22" s="55"/>
      <c r="H22" s="55"/>
      <c r="I22" s="55"/>
      <c r="J22" s="89"/>
      <c r="K22" s="54"/>
      <c r="L22" s="55"/>
      <c r="M22" s="55"/>
      <c r="N22" s="55"/>
      <c r="O22" s="89"/>
      <c r="P22" s="54"/>
      <c r="Q22" s="55"/>
      <c r="R22" s="55"/>
      <c r="S22" s="55"/>
      <c r="T22" s="84"/>
      <c r="U22" s="54"/>
      <c r="V22" s="84"/>
      <c r="W22" s="84"/>
      <c r="X22" s="54"/>
      <c r="Y22" s="84"/>
      <c r="Z22" s="84"/>
      <c r="AA22" s="54"/>
      <c r="AB22" s="84"/>
      <c r="AC22" s="84"/>
      <c r="AD22" s="54"/>
      <c r="AE22" s="55"/>
      <c r="AF22" s="55"/>
      <c r="AG22" s="55"/>
      <c r="AH22" s="84"/>
      <c r="AI22" s="54"/>
      <c r="AJ22" s="55"/>
      <c r="AK22" s="55"/>
      <c r="AL22" s="55"/>
      <c r="AM22" s="89"/>
      <c r="AN22" s="63"/>
      <c r="AO22" s="86"/>
      <c r="AP22" s="57"/>
      <c r="AQ22" s="237"/>
    </row>
    <row r="23" spans="1:43" ht="24.9">
      <c r="B23" s="187"/>
      <c r="C23" s="188">
        <v>1.4</v>
      </c>
      <c r="D23" s="189" t="s">
        <v>216</v>
      </c>
      <c r="E23" s="190" t="s">
        <v>107</v>
      </c>
      <c r="F23" s="54"/>
      <c r="G23" s="238"/>
      <c r="H23" s="238"/>
      <c r="I23" s="238"/>
      <c r="J23" s="239"/>
      <c r="K23" s="54"/>
      <c r="L23" s="238"/>
      <c r="M23" s="238"/>
      <c r="N23" s="238"/>
      <c r="O23" s="239"/>
      <c r="P23" s="54"/>
      <c r="Q23" s="238"/>
      <c r="R23" s="238"/>
      <c r="S23" s="238"/>
      <c r="T23" s="240"/>
      <c r="U23" s="54"/>
      <c r="V23" s="240"/>
      <c r="W23" s="240"/>
      <c r="X23" s="54"/>
      <c r="Y23" s="240"/>
      <c r="Z23" s="240"/>
      <c r="AA23" s="54"/>
      <c r="AB23" s="240"/>
      <c r="AC23" s="240"/>
      <c r="AD23" s="54"/>
      <c r="AE23" s="238"/>
      <c r="AF23" s="238"/>
      <c r="AG23" s="238"/>
      <c r="AH23" s="240"/>
      <c r="AI23" s="54"/>
      <c r="AJ23" s="238"/>
      <c r="AK23" s="238"/>
      <c r="AL23" s="238"/>
      <c r="AM23" s="239"/>
      <c r="AN23" s="91"/>
      <c r="AO23" s="60"/>
      <c r="AP23" s="59"/>
      <c r="AQ23" s="237"/>
    </row>
    <row r="24" spans="1:43">
      <c r="B24" s="187"/>
      <c r="C24" s="188">
        <v>1.5</v>
      </c>
      <c r="D24" s="189" t="s">
        <v>217</v>
      </c>
      <c r="E24" s="190" t="s">
        <v>108</v>
      </c>
      <c r="F24" s="54"/>
      <c r="G24" s="238"/>
      <c r="H24" s="238"/>
      <c r="I24" s="238"/>
      <c r="J24" s="239"/>
      <c r="K24" s="54"/>
      <c r="L24" s="238"/>
      <c r="M24" s="238"/>
      <c r="N24" s="238"/>
      <c r="O24" s="239"/>
      <c r="P24" s="54"/>
      <c r="Q24" s="238"/>
      <c r="R24" s="238"/>
      <c r="S24" s="238"/>
      <c r="T24" s="240"/>
      <c r="U24" s="54"/>
      <c r="V24" s="240"/>
      <c r="W24" s="240"/>
      <c r="X24" s="54"/>
      <c r="Y24" s="240"/>
      <c r="Z24" s="240"/>
      <c r="AA24" s="54"/>
      <c r="AB24" s="240"/>
      <c r="AC24" s="240"/>
      <c r="AD24" s="54"/>
      <c r="AE24" s="238"/>
      <c r="AF24" s="238"/>
      <c r="AG24" s="238"/>
      <c r="AH24" s="240"/>
      <c r="AI24" s="54"/>
      <c r="AJ24" s="238"/>
      <c r="AK24" s="238"/>
      <c r="AL24" s="238"/>
      <c r="AM24" s="239"/>
      <c r="AN24" s="91"/>
      <c r="AO24" s="60"/>
      <c r="AP24" s="59"/>
      <c r="AQ24" s="237"/>
    </row>
    <row r="25" spans="1:43">
      <c r="B25" s="187"/>
      <c r="C25" s="188">
        <v>1.6</v>
      </c>
      <c r="D25" s="189" t="s">
        <v>109</v>
      </c>
      <c r="E25" s="190" t="s">
        <v>104</v>
      </c>
      <c r="F25" s="54"/>
      <c r="G25" s="238"/>
      <c r="H25" s="238"/>
      <c r="I25" s="238"/>
      <c r="J25" s="239"/>
      <c r="K25" s="54"/>
      <c r="L25" s="238"/>
      <c r="M25" s="238"/>
      <c r="N25" s="238"/>
      <c r="O25" s="239"/>
      <c r="P25" s="54"/>
      <c r="Q25" s="238"/>
      <c r="R25" s="238"/>
      <c r="S25" s="238"/>
      <c r="T25" s="240"/>
      <c r="U25" s="54"/>
      <c r="V25" s="240"/>
      <c r="W25" s="240"/>
      <c r="X25" s="54"/>
      <c r="Y25" s="240"/>
      <c r="Z25" s="240"/>
      <c r="AA25" s="54"/>
      <c r="AB25" s="240"/>
      <c r="AC25" s="240"/>
      <c r="AD25" s="54"/>
      <c r="AE25" s="238"/>
      <c r="AF25" s="238"/>
      <c r="AG25" s="238"/>
      <c r="AH25" s="240"/>
      <c r="AI25" s="54"/>
      <c r="AJ25" s="238"/>
      <c r="AK25" s="238"/>
      <c r="AL25" s="238"/>
      <c r="AM25" s="239"/>
      <c r="AN25" s="91"/>
      <c r="AO25" s="60"/>
      <c r="AP25" s="59"/>
      <c r="AQ25" s="237"/>
    </row>
    <row r="26" spans="1:43" s="8" customFormat="1">
      <c r="A26" s="175"/>
      <c r="B26" s="437"/>
      <c r="C26" s="438"/>
      <c r="D26" s="433"/>
      <c r="E26" s="409"/>
      <c r="F26" s="426"/>
      <c r="G26" s="427"/>
      <c r="H26" s="427"/>
      <c r="I26" s="427"/>
      <c r="J26" s="428"/>
      <c r="K26" s="426"/>
      <c r="L26" s="427"/>
      <c r="M26" s="427"/>
      <c r="N26" s="427"/>
      <c r="O26" s="428"/>
      <c r="P26" s="426"/>
      <c r="Q26" s="427"/>
      <c r="R26" s="427"/>
      <c r="S26" s="427"/>
      <c r="T26" s="429"/>
      <c r="U26" s="426"/>
      <c r="V26" s="429"/>
      <c r="W26" s="429"/>
      <c r="X26" s="426"/>
      <c r="Y26" s="429"/>
      <c r="Z26" s="429"/>
      <c r="AA26" s="426"/>
      <c r="AB26" s="429"/>
      <c r="AC26" s="429"/>
      <c r="AD26" s="426"/>
      <c r="AE26" s="427"/>
      <c r="AF26" s="427"/>
      <c r="AG26" s="427"/>
      <c r="AH26" s="429"/>
      <c r="AI26" s="426"/>
      <c r="AJ26" s="427"/>
      <c r="AK26" s="427"/>
      <c r="AL26" s="427"/>
      <c r="AM26" s="428"/>
      <c r="AN26" s="434"/>
      <c r="AO26" s="435"/>
      <c r="AP26" s="371"/>
      <c r="AQ26" s="430"/>
    </row>
    <row r="27" spans="1:43" s="8" customFormat="1">
      <c r="A27" s="175"/>
      <c r="B27" s="184" t="s">
        <v>2</v>
      </c>
      <c r="C27" s="185" t="s">
        <v>9</v>
      </c>
      <c r="D27" s="192"/>
      <c r="E27" s="410"/>
      <c r="F27" s="416"/>
      <c r="G27" s="414"/>
      <c r="H27" s="414"/>
      <c r="I27" s="414"/>
      <c r="J27" s="415"/>
      <c r="K27" s="416"/>
      <c r="L27" s="414"/>
      <c r="M27" s="414"/>
      <c r="N27" s="414"/>
      <c r="O27" s="415"/>
      <c r="P27" s="416"/>
      <c r="Q27" s="414"/>
      <c r="R27" s="414"/>
      <c r="S27" s="414"/>
      <c r="T27" s="417"/>
      <c r="U27" s="416"/>
      <c r="V27" s="417"/>
      <c r="W27" s="417"/>
      <c r="X27" s="416"/>
      <c r="Y27" s="417"/>
      <c r="Z27" s="417"/>
      <c r="AA27" s="416"/>
      <c r="AB27" s="417"/>
      <c r="AC27" s="417"/>
      <c r="AD27" s="416"/>
      <c r="AE27" s="414"/>
      <c r="AF27" s="414"/>
      <c r="AG27" s="414"/>
      <c r="AH27" s="417"/>
      <c r="AI27" s="416"/>
      <c r="AJ27" s="414"/>
      <c r="AK27" s="414"/>
      <c r="AL27" s="414"/>
      <c r="AM27" s="415"/>
      <c r="AN27" s="418"/>
      <c r="AO27" s="419"/>
      <c r="AP27" s="381"/>
      <c r="AQ27" s="420"/>
    </row>
    <row r="28" spans="1:43" s="8" customFormat="1">
      <c r="A28" s="175"/>
      <c r="B28" s="193"/>
      <c r="C28" s="194">
        <v>2.1</v>
      </c>
      <c r="D28" s="189" t="s">
        <v>155</v>
      </c>
      <c r="E28" s="188" t="s">
        <v>136</v>
      </c>
      <c r="F28" s="481">
        <f>'Pt 2 - Premium and Claims'!F66</f>
        <v>0</v>
      </c>
      <c r="G28" s="482">
        <f>'Pt 2 - Premium and Claims'!G66</f>
        <v>0</v>
      </c>
      <c r="H28" s="482">
        <f>'Pt 2 - Premium and Claims'!H66</f>
        <v>0</v>
      </c>
      <c r="I28" s="482">
        <f>'Pt 2 - Premium and Claims'!I66</f>
        <v>0</v>
      </c>
      <c r="J28" s="483">
        <f>'Pt 2 - Premium and Claims'!J66</f>
        <v>0</v>
      </c>
      <c r="K28" s="481">
        <f>'Pt 2 - Premium and Claims'!K66</f>
        <v>0</v>
      </c>
      <c r="L28" s="482">
        <f>'Pt 2 - Premium and Claims'!L66</f>
        <v>0</v>
      </c>
      <c r="M28" s="482">
        <f>'Pt 2 - Premium and Claims'!M66</f>
        <v>0</v>
      </c>
      <c r="N28" s="482">
        <f>'Pt 2 - Premium and Claims'!N66</f>
        <v>0</v>
      </c>
      <c r="O28" s="483">
        <f>'Pt 2 - Premium and Claims'!O66</f>
        <v>0</v>
      </c>
      <c r="P28" s="481">
        <f>'Pt 2 - Premium and Claims'!P66</f>
        <v>0</v>
      </c>
      <c r="Q28" s="482">
        <f>'Pt 2 - Premium and Claims'!Q66</f>
        <v>0</v>
      </c>
      <c r="R28" s="482">
        <f>'Pt 2 - Premium and Claims'!R66</f>
        <v>0</v>
      </c>
      <c r="S28" s="482">
        <f>'Pt 2 - Premium and Claims'!S66</f>
        <v>0</v>
      </c>
      <c r="T28" s="484">
        <f>'Pt 2 - Premium and Claims'!T66</f>
        <v>0</v>
      </c>
      <c r="U28" s="481">
        <f>'Pt 2 - Premium and Claims'!U66</f>
        <v>0</v>
      </c>
      <c r="V28" s="484">
        <f>'Pt 2 - Premium and Claims'!V66</f>
        <v>0</v>
      </c>
      <c r="W28" s="483">
        <f>'Pt 2 - Premium and Claims'!W66</f>
        <v>0</v>
      </c>
      <c r="X28" s="481">
        <f>'Pt 2 - Premium and Claims'!X66</f>
        <v>0</v>
      </c>
      <c r="Y28" s="484">
        <f>'Pt 2 - Premium and Claims'!Y66</f>
        <v>0</v>
      </c>
      <c r="Z28" s="483">
        <f>'Pt 2 - Premium and Claims'!Z66</f>
        <v>0</v>
      </c>
      <c r="AA28" s="481">
        <f>'Pt 2 - Premium and Claims'!AA66</f>
        <v>0</v>
      </c>
      <c r="AB28" s="484">
        <f>'Pt 2 - Premium and Claims'!AB66</f>
        <v>0</v>
      </c>
      <c r="AC28" s="483">
        <f>'Pt 2 - Premium and Claims'!AC66</f>
        <v>0</v>
      </c>
      <c r="AD28" s="481">
        <f>'Pt 2 - Premium and Claims'!AD66</f>
        <v>0</v>
      </c>
      <c r="AE28" s="482">
        <f>'Pt 2 - Premium and Claims'!AE66</f>
        <v>0</v>
      </c>
      <c r="AF28" s="482">
        <f>'Pt 2 - Premium and Claims'!AF66</f>
        <v>0</v>
      </c>
      <c r="AG28" s="482">
        <f>'Pt 2 - Premium and Claims'!AG66</f>
        <v>0</v>
      </c>
      <c r="AH28" s="484">
        <f>'Pt 2 - Premium and Claims'!AH66</f>
        <v>0</v>
      </c>
      <c r="AI28" s="481">
        <f>'Pt 2 - Premium and Claims'!AI66</f>
        <v>0</v>
      </c>
      <c r="AJ28" s="482">
        <f>'Pt 2 - Premium and Claims'!AJ66</f>
        <v>0</v>
      </c>
      <c r="AK28" s="482">
        <f>'Pt 2 - Premium and Claims'!AK66</f>
        <v>0</v>
      </c>
      <c r="AL28" s="482">
        <f>'Pt 2 - Premium and Claims'!AL66</f>
        <v>0</v>
      </c>
      <c r="AM28" s="483">
        <f>'Pt 2 - Premium and Claims'!AM66</f>
        <v>0</v>
      </c>
      <c r="AN28" s="485">
        <f>'Pt 2 - Premium and Claims'!AN66</f>
        <v>0</v>
      </c>
      <c r="AO28" s="486">
        <f>'Pt 2 - Premium and Claims'!AO66</f>
        <v>0</v>
      </c>
      <c r="AP28" s="487">
        <f>'Pt 2 - Premium and Claims'!AP66</f>
        <v>0</v>
      </c>
      <c r="AQ28" s="237"/>
    </row>
    <row r="29" spans="1:43" ht="24.9">
      <c r="B29" s="187"/>
      <c r="C29" s="194">
        <v>2.2000000000000002</v>
      </c>
      <c r="D29" s="189" t="s">
        <v>307</v>
      </c>
      <c r="E29" s="190" t="s">
        <v>56</v>
      </c>
      <c r="F29" s="103"/>
      <c r="G29" s="55"/>
      <c r="H29" s="55"/>
      <c r="I29" s="238"/>
      <c r="J29" s="239"/>
      <c r="K29" s="54"/>
      <c r="L29" s="55"/>
      <c r="M29" s="55"/>
      <c r="N29" s="238"/>
      <c r="O29" s="239"/>
      <c r="P29" s="54"/>
      <c r="Q29" s="55"/>
      <c r="R29" s="55"/>
      <c r="S29" s="238"/>
      <c r="T29" s="240"/>
      <c r="U29" s="54"/>
      <c r="V29" s="84"/>
      <c r="W29" s="84"/>
      <c r="X29" s="54"/>
      <c r="Y29" s="84"/>
      <c r="Z29" s="84"/>
      <c r="AA29" s="54"/>
      <c r="AB29" s="84"/>
      <c r="AC29" s="84"/>
      <c r="AD29" s="54"/>
      <c r="AE29" s="55"/>
      <c r="AF29" s="55"/>
      <c r="AG29" s="238"/>
      <c r="AH29" s="240"/>
      <c r="AI29" s="54"/>
      <c r="AJ29" s="55"/>
      <c r="AK29" s="55"/>
      <c r="AL29" s="238"/>
      <c r="AM29" s="239"/>
      <c r="AN29" s="63"/>
      <c r="AO29" s="86"/>
      <c r="AP29" s="57"/>
      <c r="AQ29" s="237"/>
    </row>
    <row r="30" spans="1:43" ht="24.9">
      <c r="B30" s="187"/>
      <c r="C30" s="194">
        <v>2.2999999999999998</v>
      </c>
      <c r="D30" s="189" t="s">
        <v>308</v>
      </c>
      <c r="E30" s="190" t="s">
        <v>16</v>
      </c>
      <c r="F30" s="103"/>
      <c r="G30" s="55"/>
      <c r="H30" s="55"/>
      <c r="I30" s="238"/>
      <c r="J30" s="239"/>
      <c r="K30" s="54"/>
      <c r="L30" s="55"/>
      <c r="M30" s="55"/>
      <c r="N30" s="238"/>
      <c r="O30" s="239"/>
      <c r="P30" s="54"/>
      <c r="Q30" s="55"/>
      <c r="R30" s="55"/>
      <c r="S30" s="238"/>
      <c r="T30" s="240"/>
      <c r="U30" s="54"/>
      <c r="V30" s="84"/>
      <c r="W30" s="84"/>
      <c r="X30" s="54"/>
      <c r="Y30" s="84"/>
      <c r="Z30" s="84"/>
      <c r="AA30" s="54"/>
      <c r="AB30" s="84"/>
      <c r="AC30" s="84"/>
      <c r="AD30" s="54"/>
      <c r="AE30" s="55"/>
      <c r="AF30" s="55"/>
      <c r="AG30" s="238"/>
      <c r="AH30" s="240"/>
      <c r="AI30" s="54"/>
      <c r="AJ30" s="55"/>
      <c r="AK30" s="55"/>
      <c r="AL30" s="238"/>
      <c r="AM30" s="239"/>
      <c r="AN30" s="63"/>
      <c r="AO30" s="86"/>
      <c r="AP30" s="57"/>
      <c r="AQ30" s="237"/>
    </row>
    <row r="31" spans="1:43" ht="24.9">
      <c r="B31" s="187"/>
      <c r="C31" s="194">
        <v>2.4</v>
      </c>
      <c r="D31" s="189" t="s">
        <v>309</v>
      </c>
      <c r="E31" s="190" t="s">
        <v>17</v>
      </c>
      <c r="F31" s="103"/>
      <c r="G31" s="55"/>
      <c r="H31" s="55"/>
      <c r="I31" s="238"/>
      <c r="J31" s="239"/>
      <c r="K31" s="54"/>
      <c r="L31" s="55"/>
      <c r="M31" s="55"/>
      <c r="N31" s="238"/>
      <c r="O31" s="239"/>
      <c r="P31" s="54"/>
      <c r="Q31" s="55"/>
      <c r="R31" s="55"/>
      <c r="S31" s="238"/>
      <c r="T31" s="240"/>
      <c r="U31" s="54"/>
      <c r="V31" s="84"/>
      <c r="W31" s="84"/>
      <c r="X31" s="54"/>
      <c r="Y31" s="84"/>
      <c r="Z31" s="84"/>
      <c r="AA31" s="54"/>
      <c r="AB31" s="84"/>
      <c r="AC31" s="84"/>
      <c r="AD31" s="54"/>
      <c r="AE31" s="55"/>
      <c r="AF31" s="55"/>
      <c r="AG31" s="238"/>
      <c r="AH31" s="240"/>
      <c r="AI31" s="54"/>
      <c r="AJ31" s="55"/>
      <c r="AK31" s="55"/>
      <c r="AL31" s="238"/>
      <c r="AM31" s="239"/>
      <c r="AN31" s="63"/>
      <c r="AO31" s="86"/>
      <c r="AP31" s="57"/>
      <c r="AQ31" s="237"/>
    </row>
    <row r="32" spans="1:43">
      <c r="B32" s="187"/>
      <c r="C32" s="194">
        <v>2.5</v>
      </c>
      <c r="D32" s="189" t="s">
        <v>218</v>
      </c>
      <c r="E32" s="190" t="s">
        <v>113</v>
      </c>
      <c r="F32" s="103"/>
      <c r="G32" s="238"/>
      <c r="H32" s="238"/>
      <c r="I32" s="238"/>
      <c r="J32" s="239"/>
      <c r="K32" s="54"/>
      <c r="L32" s="238"/>
      <c r="M32" s="238"/>
      <c r="N32" s="238"/>
      <c r="O32" s="239"/>
      <c r="P32" s="54"/>
      <c r="Q32" s="238"/>
      <c r="R32" s="238"/>
      <c r="S32" s="238"/>
      <c r="T32" s="240"/>
      <c r="U32" s="54"/>
      <c r="V32" s="240"/>
      <c r="W32" s="240"/>
      <c r="X32" s="54"/>
      <c r="Y32" s="240"/>
      <c r="Z32" s="240"/>
      <c r="AA32" s="54"/>
      <c r="AB32" s="240"/>
      <c r="AC32" s="240"/>
      <c r="AD32" s="54"/>
      <c r="AE32" s="238"/>
      <c r="AF32" s="238"/>
      <c r="AG32" s="238"/>
      <c r="AH32" s="240"/>
      <c r="AI32" s="54"/>
      <c r="AJ32" s="238"/>
      <c r="AK32" s="238"/>
      <c r="AL32" s="238"/>
      <c r="AM32" s="239"/>
      <c r="AN32" s="63"/>
      <c r="AO32" s="86"/>
      <c r="AP32" s="57"/>
      <c r="AQ32" s="237"/>
    </row>
    <row r="33" spans="1:43">
      <c r="B33" s="187"/>
      <c r="C33" s="194">
        <v>2.6</v>
      </c>
      <c r="D33" s="189" t="s">
        <v>141</v>
      </c>
      <c r="E33" s="190" t="s">
        <v>114</v>
      </c>
      <c r="F33" s="103"/>
      <c r="G33" s="238"/>
      <c r="H33" s="238"/>
      <c r="I33" s="238"/>
      <c r="J33" s="239"/>
      <c r="K33" s="54"/>
      <c r="L33" s="238"/>
      <c r="M33" s="238"/>
      <c r="N33" s="238"/>
      <c r="O33" s="239"/>
      <c r="P33" s="54"/>
      <c r="Q33" s="238"/>
      <c r="R33" s="238"/>
      <c r="S33" s="238"/>
      <c r="T33" s="240"/>
      <c r="U33" s="54"/>
      <c r="V33" s="240"/>
      <c r="W33" s="240"/>
      <c r="X33" s="54"/>
      <c r="Y33" s="240"/>
      <c r="Z33" s="240"/>
      <c r="AA33" s="54"/>
      <c r="AB33" s="240"/>
      <c r="AC33" s="240"/>
      <c r="AD33" s="54"/>
      <c r="AE33" s="238"/>
      <c r="AF33" s="238"/>
      <c r="AG33" s="238"/>
      <c r="AH33" s="240"/>
      <c r="AI33" s="54"/>
      <c r="AJ33" s="238"/>
      <c r="AK33" s="238"/>
      <c r="AL33" s="238"/>
      <c r="AM33" s="239"/>
      <c r="AN33" s="63"/>
      <c r="AO33" s="86"/>
      <c r="AP33" s="57"/>
      <c r="AQ33" s="237"/>
    </row>
    <row r="34" spans="1:43">
      <c r="B34" s="187"/>
      <c r="C34" s="194">
        <v>2.7</v>
      </c>
      <c r="D34" s="189" t="s">
        <v>110</v>
      </c>
      <c r="E34" s="190" t="s">
        <v>115</v>
      </c>
      <c r="F34" s="103"/>
      <c r="G34" s="238"/>
      <c r="H34" s="238"/>
      <c r="I34" s="238"/>
      <c r="J34" s="239"/>
      <c r="K34" s="54"/>
      <c r="L34" s="238"/>
      <c r="M34" s="238"/>
      <c r="N34" s="238"/>
      <c r="O34" s="239"/>
      <c r="P34" s="54"/>
      <c r="Q34" s="238"/>
      <c r="R34" s="238"/>
      <c r="S34" s="238"/>
      <c r="T34" s="240"/>
      <c r="U34" s="54"/>
      <c r="V34" s="240"/>
      <c r="W34" s="240"/>
      <c r="X34" s="54"/>
      <c r="Y34" s="240"/>
      <c r="Z34" s="240"/>
      <c r="AA34" s="54"/>
      <c r="AB34" s="240"/>
      <c r="AC34" s="240"/>
      <c r="AD34" s="54"/>
      <c r="AE34" s="238"/>
      <c r="AF34" s="238"/>
      <c r="AG34" s="238"/>
      <c r="AH34" s="240"/>
      <c r="AI34" s="54"/>
      <c r="AJ34" s="238"/>
      <c r="AK34" s="238"/>
      <c r="AL34" s="238"/>
      <c r="AM34" s="239"/>
      <c r="AN34" s="63"/>
      <c r="AO34" s="86"/>
      <c r="AP34" s="57"/>
      <c r="AQ34" s="237"/>
    </row>
    <row r="35" spans="1:43">
      <c r="B35" s="187"/>
      <c r="C35" s="194">
        <v>2.8</v>
      </c>
      <c r="D35" s="189" t="s">
        <v>111</v>
      </c>
      <c r="E35" s="190" t="s">
        <v>116</v>
      </c>
      <c r="F35" s="103"/>
      <c r="G35" s="238"/>
      <c r="H35" s="238"/>
      <c r="I35" s="238"/>
      <c r="J35" s="239"/>
      <c r="K35" s="54"/>
      <c r="L35" s="238"/>
      <c r="M35" s="238"/>
      <c r="N35" s="238"/>
      <c r="O35" s="239"/>
      <c r="P35" s="54"/>
      <c r="Q35" s="238"/>
      <c r="R35" s="238"/>
      <c r="S35" s="238"/>
      <c r="T35" s="240"/>
      <c r="U35" s="54"/>
      <c r="V35" s="240"/>
      <c r="W35" s="240"/>
      <c r="X35" s="54"/>
      <c r="Y35" s="240"/>
      <c r="Z35" s="240"/>
      <c r="AA35" s="54"/>
      <c r="AB35" s="240"/>
      <c r="AC35" s="240"/>
      <c r="AD35" s="54"/>
      <c r="AE35" s="238"/>
      <c r="AF35" s="238"/>
      <c r="AG35" s="238"/>
      <c r="AH35" s="240"/>
      <c r="AI35" s="54"/>
      <c r="AJ35" s="238"/>
      <c r="AK35" s="238"/>
      <c r="AL35" s="238"/>
      <c r="AM35" s="239"/>
      <c r="AN35" s="63"/>
      <c r="AO35" s="86"/>
      <c r="AP35" s="57"/>
      <c r="AQ35" s="237"/>
    </row>
    <row r="36" spans="1:43">
      <c r="B36" s="187"/>
      <c r="C36" s="194">
        <v>2.9</v>
      </c>
      <c r="D36" s="189" t="s">
        <v>120</v>
      </c>
      <c r="E36" s="190" t="s">
        <v>117</v>
      </c>
      <c r="F36" s="103"/>
      <c r="G36" s="238"/>
      <c r="H36" s="238"/>
      <c r="I36" s="238"/>
      <c r="J36" s="239"/>
      <c r="K36" s="54"/>
      <c r="L36" s="238"/>
      <c r="M36" s="238"/>
      <c r="N36" s="238"/>
      <c r="O36" s="239"/>
      <c r="P36" s="54"/>
      <c r="Q36" s="238"/>
      <c r="R36" s="238"/>
      <c r="S36" s="238"/>
      <c r="T36" s="240"/>
      <c r="U36" s="54"/>
      <c r="V36" s="240"/>
      <c r="W36" s="240"/>
      <c r="X36" s="54"/>
      <c r="Y36" s="240"/>
      <c r="Z36" s="240"/>
      <c r="AA36" s="54"/>
      <c r="AB36" s="240"/>
      <c r="AC36" s="240"/>
      <c r="AD36" s="54"/>
      <c r="AE36" s="238"/>
      <c r="AF36" s="238"/>
      <c r="AG36" s="238"/>
      <c r="AH36" s="240"/>
      <c r="AI36" s="54"/>
      <c r="AJ36" s="238"/>
      <c r="AK36" s="238"/>
      <c r="AL36" s="238"/>
      <c r="AM36" s="239"/>
      <c r="AN36" s="63"/>
      <c r="AO36" s="86"/>
      <c r="AP36" s="57"/>
      <c r="AQ36" s="237"/>
    </row>
    <row r="37" spans="1:43">
      <c r="B37" s="187"/>
      <c r="C37" s="194" t="s">
        <v>65</v>
      </c>
      <c r="D37" s="189" t="s">
        <v>112</v>
      </c>
      <c r="E37" s="190" t="s">
        <v>118</v>
      </c>
      <c r="F37" s="103"/>
      <c r="G37" s="238"/>
      <c r="H37" s="238"/>
      <c r="I37" s="238"/>
      <c r="J37" s="239"/>
      <c r="K37" s="54"/>
      <c r="L37" s="238"/>
      <c r="M37" s="238"/>
      <c r="N37" s="238"/>
      <c r="O37" s="239"/>
      <c r="P37" s="54"/>
      <c r="Q37" s="238"/>
      <c r="R37" s="238"/>
      <c r="S37" s="238"/>
      <c r="T37" s="240"/>
      <c r="U37" s="54"/>
      <c r="V37" s="240"/>
      <c r="W37" s="240"/>
      <c r="X37" s="54"/>
      <c r="Y37" s="240"/>
      <c r="Z37" s="240"/>
      <c r="AA37" s="54"/>
      <c r="AB37" s="240"/>
      <c r="AC37" s="240"/>
      <c r="AD37" s="54"/>
      <c r="AE37" s="238"/>
      <c r="AF37" s="238"/>
      <c r="AG37" s="238"/>
      <c r="AH37" s="240"/>
      <c r="AI37" s="54"/>
      <c r="AJ37" s="238"/>
      <c r="AK37" s="238"/>
      <c r="AL37" s="238"/>
      <c r="AM37" s="239"/>
      <c r="AN37" s="63"/>
      <c r="AO37" s="86"/>
      <c r="AP37" s="57"/>
      <c r="AQ37" s="237"/>
    </row>
    <row r="38" spans="1:43" s="8" customFormat="1">
      <c r="A38" s="175"/>
      <c r="B38" s="431"/>
      <c r="C38" s="432"/>
      <c r="D38" s="433"/>
      <c r="E38" s="410"/>
      <c r="F38" s="426"/>
      <c r="G38" s="427"/>
      <c r="H38" s="427"/>
      <c r="I38" s="427"/>
      <c r="J38" s="428"/>
      <c r="K38" s="426"/>
      <c r="L38" s="427"/>
      <c r="M38" s="427"/>
      <c r="N38" s="427"/>
      <c r="O38" s="428"/>
      <c r="P38" s="426"/>
      <c r="Q38" s="427"/>
      <c r="R38" s="427"/>
      <c r="S38" s="427"/>
      <c r="T38" s="429"/>
      <c r="U38" s="426"/>
      <c r="V38" s="429"/>
      <c r="W38" s="429"/>
      <c r="X38" s="426"/>
      <c r="Y38" s="429"/>
      <c r="Z38" s="429"/>
      <c r="AA38" s="426"/>
      <c r="AB38" s="429"/>
      <c r="AC38" s="429"/>
      <c r="AD38" s="426"/>
      <c r="AE38" s="427"/>
      <c r="AF38" s="427"/>
      <c r="AG38" s="427"/>
      <c r="AH38" s="429"/>
      <c r="AI38" s="426"/>
      <c r="AJ38" s="427"/>
      <c r="AK38" s="427"/>
      <c r="AL38" s="427"/>
      <c r="AM38" s="428"/>
      <c r="AN38" s="434"/>
      <c r="AO38" s="435"/>
      <c r="AP38" s="371"/>
      <c r="AQ38" s="430"/>
    </row>
    <row r="39" spans="1:43">
      <c r="B39" s="184" t="s">
        <v>3</v>
      </c>
      <c r="C39" s="185" t="s">
        <v>156</v>
      </c>
      <c r="D39" s="186"/>
      <c r="E39" s="436"/>
      <c r="F39" s="416"/>
      <c r="G39" s="414"/>
      <c r="H39" s="414"/>
      <c r="I39" s="414"/>
      <c r="J39" s="415"/>
      <c r="K39" s="416"/>
      <c r="L39" s="414"/>
      <c r="M39" s="414"/>
      <c r="N39" s="414"/>
      <c r="O39" s="415"/>
      <c r="P39" s="416"/>
      <c r="Q39" s="414"/>
      <c r="R39" s="414"/>
      <c r="S39" s="414"/>
      <c r="T39" s="417"/>
      <c r="U39" s="416"/>
      <c r="V39" s="417"/>
      <c r="W39" s="417"/>
      <c r="X39" s="416"/>
      <c r="Y39" s="417"/>
      <c r="Z39" s="417"/>
      <c r="AA39" s="416"/>
      <c r="AB39" s="417"/>
      <c r="AC39" s="417"/>
      <c r="AD39" s="416"/>
      <c r="AE39" s="414"/>
      <c r="AF39" s="414"/>
      <c r="AG39" s="414"/>
      <c r="AH39" s="417"/>
      <c r="AI39" s="416"/>
      <c r="AJ39" s="414"/>
      <c r="AK39" s="414"/>
      <c r="AL39" s="414"/>
      <c r="AM39" s="415"/>
      <c r="AN39" s="418"/>
      <c r="AO39" s="419"/>
      <c r="AP39" s="381"/>
      <c r="AQ39" s="420"/>
    </row>
    <row r="40" spans="1:43" s="8" customFormat="1">
      <c r="A40" s="175"/>
      <c r="B40" s="193"/>
      <c r="C40" s="195">
        <v>3.1</v>
      </c>
      <c r="D40" s="191" t="s">
        <v>134</v>
      </c>
      <c r="E40" s="410"/>
      <c r="F40" s="416"/>
      <c r="G40" s="414"/>
      <c r="H40" s="414"/>
      <c r="I40" s="414"/>
      <c r="J40" s="415"/>
      <c r="K40" s="416"/>
      <c r="L40" s="414"/>
      <c r="M40" s="414"/>
      <c r="N40" s="414"/>
      <c r="O40" s="415"/>
      <c r="P40" s="416"/>
      <c r="Q40" s="414"/>
      <c r="R40" s="414"/>
      <c r="S40" s="414"/>
      <c r="T40" s="417"/>
      <c r="U40" s="416"/>
      <c r="V40" s="417"/>
      <c r="W40" s="417"/>
      <c r="X40" s="416"/>
      <c r="Y40" s="417"/>
      <c r="Z40" s="417"/>
      <c r="AA40" s="416"/>
      <c r="AB40" s="417"/>
      <c r="AC40" s="417"/>
      <c r="AD40" s="416"/>
      <c r="AE40" s="414"/>
      <c r="AF40" s="414"/>
      <c r="AG40" s="414"/>
      <c r="AH40" s="417"/>
      <c r="AI40" s="416"/>
      <c r="AJ40" s="414"/>
      <c r="AK40" s="414"/>
      <c r="AL40" s="414"/>
      <c r="AM40" s="415"/>
      <c r="AN40" s="418"/>
      <c r="AO40" s="419"/>
      <c r="AP40" s="381"/>
      <c r="AQ40" s="420"/>
    </row>
    <row r="41" spans="1:43" s="8" customFormat="1">
      <c r="A41" s="175"/>
      <c r="B41" s="193"/>
      <c r="C41" s="195"/>
      <c r="D41" s="189" t="s">
        <v>219</v>
      </c>
      <c r="E41" s="188"/>
      <c r="F41" s="54"/>
      <c r="G41" s="55"/>
      <c r="H41" s="55"/>
      <c r="I41" s="55"/>
      <c r="J41" s="89"/>
      <c r="K41" s="54"/>
      <c r="L41" s="55"/>
      <c r="M41" s="55"/>
      <c r="N41" s="55"/>
      <c r="O41" s="89"/>
      <c r="P41" s="54"/>
      <c r="Q41" s="55"/>
      <c r="R41" s="55"/>
      <c r="S41" s="55"/>
      <c r="T41" s="84"/>
      <c r="U41" s="54"/>
      <c r="V41" s="84"/>
      <c r="W41" s="84"/>
      <c r="X41" s="54"/>
      <c r="Y41" s="84"/>
      <c r="Z41" s="84"/>
      <c r="AA41" s="54"/>
      <c r="AB41" s="84"/>
      <c r="AC41" s="84"/>
      <c r="AD41" s="54"/>
      <c r="AE41" s="55"/>
      <c r="AF41" s="55"/>
      <c r="AG41" s="55"/>
      <c r="AH41" s="84"/>
      <c r="AI41" s="54"/>
      <c r="AJ41" s="55"/>
      <c r="AK41" s="55"/>
      <c r="AL41" s="55"/>
      <c r="AM41" s="89"/>
      <c r="AN41" s="91"/>
      <c r="AO41" s="60"/>
      <c r="AP41" s="59"/>
      <c r="AQ41" s="105"/>
    </row>
    <row r="42" spans="1:43" s="8" customFormat="1" ht="24.9">
      <c r="A42" s="175"/>
      <c r="B42" s="193"/>
      <c r="C42" s="195"/>
      <c r="D42" s="189" t="s">
        <v>188</v>
      </c>
      <c r="E42" s="196"/>
      <c r="F42" s="54"/>
      <c r="G42" s="55"/>
      <c r="H42" s="55"/>
      <c r="I42" s="55"/>
      <c r="J42" s="89"/>
      <c r="K42" s="54"/>
      <c r="L42" s="55"/>
      <c r="M42" s="55"/>
      <c r="N42" s="55"/>
      <c r="O42" s="89"/>
      <c r="P42" s="54"/>
      <c r="Q42" s="55"/>
      <c r="R42" s="55"/>
      <c r="S42" s="55"/>
      <c r="T42" s="84"/>
      <c r="U42" s="54"/>
      <c r="V42" s="84"/>
      <c r="W42" s="84"/>
      <c r="X42" s="54"/>
      <c r="Y42" s="84"/>
      <c r="Z42" s="84"/>
      <c r="AA42" s="54"/>
      <c r="AB42" s="84"/>
      <c r="AC42" s="84"/>
      <c r="AD42" s="54"/>
      <c r="AE42" s="55"/>
      <c r="AF42" s="55"/>
      <c r="AG42" s="55"/>
      <c r="AH42" s="84"/>
      <c r="AI42" s="54"/>
      <c r="AJ42" s="55"/>
      <c r="AK42" s="55"/>
      <c r="AL42" s="55"/>
      <c r="AM42" s="89"/>
      <c r="AN42" s="91"/>
      <c r="AO42" s="60"/>
      <c r="AP42" s="59"/>
      <c r="AQ42" s="105"/>
    </row>
    <row r="43" spans="1:43" ht="24.9">
      <c r="B43" s="187"/>
      <c r="C43" s="195">
        <v>3.2</v>
      </c>
      <c r="D43" s="189" t="s">
        <v>164</v>
      </c>
      <c r="E43" s="448"/>
      <c r="F43" s="416"/>
      <c r="G43" s="414"/>
      <c r="H43" s="414"/>
      <c r="I43" s="414"/>
      <c r="J43" s="415"/>
      <c r="K43" s="416"/>
      <c r="L43" s="414"/>
      <c r="M43" s="414"/>
      <c r="N43" s="414"/>
      <c r="O43" s="415"/>
      <c r="P43" s="416"/>
      <c r="Q43" s="414"/>
      <c r="R43" s="414"/>
      <c r="S43" s="414"/>
      <c r="T43" s="417"/>
      <c r="U43" s="416"/>
      <c r="V43" s="417"/>
      <c r="W43" s="417"/>
      <c r="X43" s="416"/>
      <c r="Y43" s="417"/>
      <c r="Z43" s="417"/>
      <c r="AA43" s="416"/>
      <c r="AB43" s="417"/>
      <c r="AC43" s="417"/>
      <c r="AD43" s="416"/>
      <c r="AE43" s="414"/>
      <c r="AF43" s="414"/>
      <c r="AG43" s="414"/>
      <c r="AH43" s="417"/>
      <c r="AI43" s="416"/>
      <c r="AJ43" s="414"/>
      <c r="AK43" s="414"/>
      <c r="AL43" s="414"/>
      <c r="AM43" s="415"/>
      <c r="AN43" s="418"/>
      <c r="AO43" s="419"/>
      <c r="AP43" s="381"/>
      <c r="AQ43" s="420"/>
    </row>
    <row r="44" spans="1:43">
      <c r="B44" s="187"/>
      <c r="C44" s="195"/>
      <c r="D44" s="191" t="s">
        <v>142</v>
      </c>
      <c r="E44" s="190"/>
      <c r="F44" s="103"/>
      <c r="G44" s="55"/>
      <c r="H44" s="55"/>
      <c r="I44" s="55"/>
      <c r="J44" s="89"/>
      <c r="K44" s="54"/>
      <c r="L44" s="55"/>
      <c r="M44" s="55"/>
      <c r="N44" s="55"/>
      <c r="O44" s="89"/>
      <c r="P44" s="54"/>
      <c r="Q44" s="55"/>
      <c r="R44" s="55"/>
      <c r="S44" s="55"/>
      <c r="T44" s="84"/>
      <c r="U44" s="54"/>
      <c r="V44" s="84"/>
      <c r="W44" s="84"/>
      <c r="X44" s="54"/>
      <c r="Y44" s="84"/>
      <c r="Z44" s="84"/>
      <c r="AA44" s="54"/>
      <c r="AB44" s="84"/>
      <c r="AC44" s="84"/>
      <c r="AD44" s="54"/>
      <c r="AE44" s="55"/>
      <c r="AF44" s="55"/>
      <c r="AG44" s="55"/>
      <c r="AH44" s="84"/>
      <c r="AI44" s="54"/>
      <c r="AJ44" s="55"/>
      <c r="AK44" s="55"/>
      <c r="AL44" s="55"/>
      <c r="AM44" s="89"/>
      <c r="AN44" s="63"/>
      <c r="AO44" s="86"/>
      <c r="AP44" s="57"/>
      <c r="AQ44" s="105"/>
    </row>
    <row r="45" spans="1:43">
      <c r="B45" s="187"/>
      <c r="C45" s="195"/>
      <c r="D45" s="191" t="s">
        <v>102</v>
      </c>
      <c r="E45" s="190"/>
      <c r="F45" s="103"/>
      <c r="G45" s="55"/>
      <c r="H45" s="55"/>
      <c r="I45" s="55"/>
      <c r="J45" s="89"/>
      <c r="K45" s="54"/>
      <c r="L45" s="55"/>
      <c r="M45" s="55"/>
      <c r="N45" s="55"/>
      <c r="O45" s="89"/>
      <c r="P45" s="54"/>
      <c r="Q45" s="55"/>
      <c r="R45" s="55"/>
      <c r="S45" s="55"/>
      <c r="T45" s="84"/>
      <c r="U45" s="54"/>
      <c r="V45" s="84"/>
      <c r="W45" s="84"/>
      <c r="X45" s="54"/>
      <c r="Y45" s="84"/>
      <c r="Z45" s="84"/>
      <c r="AA45" s="54"/>
      <c r="AB45" s="84"/>
      <c r="AC45" s="84"/>
      <c r="AD45" s="54"/>
      <c r="AE45" s="55"/>
      <c r="AF45" s="55"/>
      <c r="AG45" s="55"/>
      <c r="AH45" s="84"/>
      <c r="AI45" s="54"/>
      <c r="AJ45" s="55"/>
      <c r="AK45" s="55"/>
      <c r="AL45" s="55"/>
      <c r="AM45" s="89"/>
      <c r="AN45" s="63"/>
      <c r="AO45" s="86"/>
      <c r="AP45" s="57"/>
      <c r="AQ45" s="105"/>
    </row>
    <row r="46" spans="1:43">
      <c r="B46" s="187"/>
      <c r="C46" s="195"/>
      <c r="D46" s="191" t="s">
        <v>181</v>
      </c>
      <c r="E46" s="190" t="s">
        <v>140</v>
      </c>
      <c r="F46" s="54"/>
      <c r="G46" s="55"/>
      <c r="H46" s="55"/>
      <c r="I46" s="55"/>
      <c r="J46" s="89"/>
      <c r="K46" s="54"/>
      <c r="L46" s="55"/>
      <c r="M46" s="55"/>
      <c r="N46" s="55"/>
      <c r="O46" s="89"/>
      <c r="P46" s="54"/>
      <c r="Q46" s="55"/>
      <c r="R46" s="55"/>
      <c r="S46" s="55"/>
      <c r="T46" s="84"/>
      <c r="U46" s="54"/>
      <c r="V46" s="84"/>
      <c r="W46" s="84"/>
      <c r="X46" s="54"/>
      <c r="Y46" s="84"/>
      <c r="Z46" s="84"/>
      <c r="AA46" s="54"/>
      <c r="AB46" s="84"/>
      <c r="AC46" s="84"/>
      <c r="AD46" s="54"/>
      <c r="AE46" s="55"/>
      <c r="AF46" s="55"/>
      <c r="AG46" s="55"/>
      <c r="AH46" s="84"/>
      <c r="AI46" s="54"/>
      <c r="AJ46" s="55"/>
      <c r="AK46" s="55"/>
      <c r="AL46" s="55"/>
      <c r="AM46" s="89"/>
      <c r="AN46" s="91"/>
      <c r="AO46" s="60"/>
      <c r="AP46" s="59"/>
      <c r="AQ46" s="105"/>
    </row>
    <row r="47" spans="1:43">
      <c r="B47" s="187"/>
      <c r="C47" s="195">
        <v>3.3</v>
      </c>
      <c r="D47" s="191" t="s">
        <v>77</v>
      </c>
      <c r="E47" s="190" t="s">
        <v>25</v>
      </c>
      <c r="F47" s="103"/>
      <c r="G47" s="55"/>
      <c r="H47" s="55"/>
      <c r="I47" s="55"/>
      <c r="J47" s="89"/>
      <c r="K47" s="54"/>
      <c r="L47" s="55"/>
      <c r="M47" s="55"/>
      <c r="N47" s="55"/>
      <c r="O47" s="89"/>
      <c r="P47" s="54"/>
      <c r="Q47" s="55"/>
      <c r="R47" s="55"/>
      <c r="S47" s="55"/>
      <c r="T47" s="84"/>
      <c r="U47" s="54"/>
      <c r="V47" s="84"/>
      <c r="W47" s="84"/>
      <c r="X47" s="54"/>
      <c r="Y47" s="84"/>
      <c r="Z47" s="84"/>
      <c r="AA47" s="54"/>
      <c r="AB47" s="84"/>
      <c r="AC47" s="84"/>
      <c r="AD47" s="54"/>
      <c r="AE47" s="55"/>
      <c r="AF47" s="55"/>
      <c r="AG47" s="55"/>
      <c r="AH47" s="84"/>
      <c r="AI47" s="54"/>
      <c r="AJ47" s="55"/>
      <c r="AK47" s="55"/>
      <c r="AL47" s="55"/>
      <c r="AM47" s="89"/>
      <c r="AN47" s="63"/>
      <c r="AO47" s="86"/>
      <c r="AP47" s="57"/>
      <c r="AQ47" s="105"/>
    </row>
    <row r="48" spans="1:43" s="8" customFormat="1">
      <c r="A48" s="175"/>
      <c r="B48" s="431"/>
      <c r="C48" s="432"/>
      <c r="D48" s="433"/>
      <c r="E48" s="409"/>
      <c r="F48" s="426"/>
      <c r="G48" s="427"/>
      <c r="H48" s="427"/>
      <c r="I48" s="427"/>
      <c r="J48" s="428"/>
      <c r="K48" s="426"/>
      <c r="L48" s="427"/>
      <c r="M48" s="427"/>
      <c r="N48" s="427"/>
      <c r="O48" s="428"/>
      <c r="P48" s="426"/>
      <c r="Q48" s="427"/>
      <c r="R48" s="427"/>
      <c r="S48" s="427"/>
      <c r="T48" s="429"/>
      <c r="U48" s="426"/>
      <c r="V48" s="429"/>
      <c r="W48" s="429"/>
      <c r="X48" s="426"/>
      <c r="Y48" s="429"/>
      <c r="Z48" s="429"/>
      <c r="AA48" s="426"/>
      <c r="AB48" s="429"/>
      <c r="AC48" s="429"/>
      <c r="AD48" s="426"/>
      <c r="AE48" s="427"/>
      <c r="AF48" s="427"/>
      <c r="AG48" s="427"/>
      <c r="AH48" s="429"/>
      <c r="AI48" s="426"/>
      <c r="AJ48" s="427"/>
      <c r="AK48" s="427"/>
      <c r="AL48" s="427"/>
      <c r="AM48" s="428"/>
      <c r="AN48" s="418"/>
      <c r="AO48" s="419"/>
      <c r="AP48" s="381"/>
      <c r="AQ48" s="430"/>
    </row>
    <row r="49" spans="1:43">
      <c r="B49" s="187" t="s">
        <v>4</v>
      </c>
      <c r="C49" s="197" t="s">
        <v>189</v>
      </c>
      <c r="D49" s="198"/>
      <c r="E49" s="421"/>
      <c r="F49" s="416"/>
      <c r="G49" s="414"/>
      <c r="H49" s="414"/>
      <c r="I49" s="414"/>
      <c r="J49" s="415"/>
      <c r="K49" s="416"/>
      <c r="L49" s="414"/>
      <c r="M49" s="414"/>
      <c r="N49" s="414"/>
      <c r="O49" s="415"/>
      <c r="P49" s="416"/>
      <c r="Q49" s="414"/>
      <c r="R49" s="414"/>
      <c r="S49" s="414"/>
      <c r="T49" s="417"/>
      <c r="U49" s="416"/>
      <c r="V49" s="417"/>
      <c r="W49" s="417"/>
      <c r="X49" s="416"/>
      <c r="Y49" s="417"/>
      <c r="Z49" s="417"/>
      <c r="AA49" s="416"/>
      <c r="AB49" s="417"/>
      <c r="AC49" s="417"/>
      <c r="AD49" s="416"/>
      <c r="AE49" s="414"/>
      <c r="AF49" s="414"/>
      <c r="AG49" s="414"/>
      <c r="AH49" s="417"/>
      <c r="AI49" s="416"/>
      <c r="AJ49" s="414"/>
      <c r="AK49" s="414"/>
      <c r="AL49" s="414"/>
      <c r="AM49" s="415"/>
      <c r="AN49" s="422"/>
      <c r="AO49" s="423"/>
      <c r="AP49" s="424"/>
      <c r="AQ49" s="425"/>
    </row>
    <row r="50" spans="1:43">
      <c r="B50" s="199"/>
      <c r="C50" s="195">
        <v>4.0999999999999996</v>
      </c>
      <c r="D50" s="191" t="s">
        <v>119</v>
      </c>
      <c r="E50" s="190" t="s">
        <v>26</v>
      </c>
      <c r="F50" s="54"/>
      <c r="G50" s="55"/>
      <c r="H50" s="55"/>
      <c r="I50" s="55"/>
      <c r="J50" s="89"/>
      <c r="K50" s="54"/>
      <c r="L50" s="55"/>
      <c r="M50" s="55"/>
      <c r="N50" s="55"/>
      <c r="O50" s="89"/>
      <c r="P50" s="54"/>
      <c r="Q50" s="55"/>
      <c r="R50" s="55"/>
      <c r="S50" s="55"/>
      <c r="T50" s="84"/>
      <c r="U50" s="54"/>
      <c r="V50" s="84"/>
      <c r="W50" s="84"/>
      <c r="X50" s="54"/>
      <c r="Y50" s="84"/>
      <c r="Z50" s="84"/>
      <c r="AA50" s="54"/>
      <c r="AB50" s="84"/>
      <c r="AC50" s="84"/>
      <c r="AD50" s="54"/>
      <c r="AE50" s="55"/>
      <c r="AF50" s="55"/>
      <c r="AG50" s="55"/>
      <c r="AH50" s="84"/>
      <c r="AI50" s="54"/>
      <c r="AJ50" s="55"/>
      <c r="AK50" s="55"/>
      <c r="AL50" s="55"/>
      <c r="AM50" s="89"/>
      <c r="AN50" s="91"/>
      <c r="AO50" s="60"/>
      <c r="AP50" s="59"/>
      <c r="AQ50" s="105"/>
    </row>
    <row r="51" spans="1:43">
      <c r="B51" s="199"/>
      <c r="C51" s="195">
        <v>4.2</v>
      </c>
      <c r="D51" s="191" t="s">
        <v>183</v>
      </c>
      <c r="E51" s="190" t="s">
        <v>27</v>
      </c>
      <c r="F51" s="54"/>
      <c r="G51" s="55"/>
      <c r="H51" s="55"/>
      <c r="I51" s="55"/>
      <c r="J51" s="89"/>
      <c r="K51" s="54"/>
      <c r="L51" s="55"/>
      <c r="M51" s="55"/>
      <c r="N51" s="55"/>
      <c r="O51" s="89"/>
      <c r="P51" s="54"/>
      <c r="Q51" s="55"/>
      <c r="R51" s="55"/>
      <c r="S51" s="55"/>
      <c r="T51" s="84"/>
      <c r="U51" s="54"/>
      <c r="V51" s="84"/>
      <c r="W51" s="84"/>
      <c r="X51" s="54"/>
      <c r="Y51" s="84"/>
      <c r="Z51" s="84"/>
      <c r="AA51" s="54"/>
      <c r="AB51" s="84"/>
      <c r="AC51" s="84"/>
      <c r="AD51" s="54"/>
      <c r="AE51" s="55"/>
      <c r="AF51" s="55"/>
      <c r="AG51" s="55"/>
      <c r="AH51" s="84"/>
      <c r="AI51" s="54"/>
      <c r="AJ51" s="55"/>
      <c r="AK51" s="55"/>
      <c r="AL51" s="55"/>
      <c r="AM51" s="89"/>
      <c r="AN51" s="91"/>
      <c r="AO51" s="60"/>
      <c r="AP51" s="59"/>
      <c r="AQ51" s="105"/>
    </row>
    <row r="52" spans="1:43">
      <c r="B52" s="199"/>
      <c r="C52" s="195">
        <v>4.3</v>
      </c>
      <c r="D52" s="191" t="s">
        <v>59</v>
      </c>
      <c r="E52" s="190" t="s">
        <v>28</v>
      </c>
      <c r="F52" s="54"/>
      <c r="G52" s="55"/>
      <c r="H52" s="55"/>
      <c r="I52" s="55"/>
      <c r="J52" s="89"/>
      <c r="K52" s="54"/>
      <c r="L52" s="55"/>
      <c r="M52" s="55"/>
      <c r="N52" s="55"/>
      <c r="O52" s="89"/>
      <c r="P52" s="54"/>
      <c r="Q52" s="55"/>
      <c r="R52" s="55"/>
      <c r="S52" s="55"/>
      <c r="T52" s="84"/>
      <c r="U52" s="54"/>
      <c r="V52" s="84"/>
      <c r="W52" s="84"/>
      <c r="X52" s="54"/>
      <c r="Y52" s="84"/>
      <c r="Z52" s="84"/>
      <c r="AA52" s="54"/>
      <c r="AB52" s="84"/>
      <c r="AC52" s="84"/>
      <c r="AD52" s="54"/>
      <c r="AE52" s="55"/>
      <c r="AF52" s="55"/>
      <c r="AG52" s="55"/>
      <c r="AH52" s="84"/>
      <c r="AI52" s="54"/>
      <c r="AJ52" s="55"/>
      <c r="AK52" s="55"/>
      <c r="AL52" s="55"/>
      <c r="AM52" s="89"/>
      <c r="AN52" s="91"/>
      <c r="AO52" s="60"/>
      <c r="AP52" s="59"/>
      <c r="AQ52" s="105"/>
    </row>
    <row r="53" spans="1:43">
      <c r="B53" s="199"/>
      <c r="C53" s="195">
        <v>4.4000000000000004</v>
      </c>
      <c r="D53" s="191" t="s">
        <v>60</v>
      </c>
      <c r="E53" s="190" t="s">
        <v>61</v>
      </c>
      <c r="F53" s="54"/>
      <c r="G53" s="55"/>
      <c r="H53" s="55"/>
      <c r="I53" s="55"/>
      <c r="J53" s="89"/>
      <c r="K53" s="54"/>
      <c r="L53" s="55"/>
      <c r="M53" s="55"/>
      <c r="N53" s="55"/>
      <c r="O53" s="89"/>
      <c r="P53" s="54"/>
      <c r="Q53" s="55"/>
      <c r="R53" s="55"/>
      <c r="S53" s="55"/>
      <c r="T53" s="84"/>
      <c r="U53" s="54"/>
      <c r="V53" s="84"/>
      <c r="W53" s="84"/>
      <c r="X53" s="54"/>
      <c r="Y53" s="84"/>
      <c r="Z53" s="84"/>
      <c r="AA53" s="54"/>
      <c r="AB53" s="84"/>
      <c r="AC53" s="84"/>
      <c r="AD53" s="54"/>
      <c r="AE53" s="55"/>
      <c r="AF53" s="55"/>
      <c r="AG53" s="55"/>
      <c r="AH53" s="84"/>
      <c r="AI53" s="54"/>
      <c r="AJ53" s="55"/>
      <c r="AK53" s="55"/>
      <c r="AL53" s="55"/>
      <c r="AM53" s="89"/>
      <c r="AN53" s="91"/>
      <c r="AO53" s="60"/>
      <c r="AP53" s="59"/>
      <c r="AQ53" s="105"/>
    </row>
    <row r="54" spans="1:43" s="8" customFormat="1">
      <c r="A54" s="175"/>
      <c r="B54" s="200"/>
      <c r="C54" s="195">
        <v>4.5</v>
      </c>
      <c r="D54" s="189" t="s">
        <v>190</v>
      </c>
      <c r="E54" s="188" t="s">
        <v>220</v>
      </c>
      <c r="F54" s="54"/>
      <c r="G54" s="55"/>
      <c r="H54" s="55"/>
      <c r="I54" s="55"/>
      <c r="J54" s="89"/>
      <c r="K54" s="54"/>
      <c r="L54" s="55"/>
      <c r="M54" s="55"/>
      <c r="N54" s="55"/>
      <c r="O54" s="89"/>
      <c r="P54" s="54"/>
      <c r="Q54" s="55"/>
      <c r="R54" s="55"/>
      <c r="S54" s="55"/>
      <c r="T54" s="84"/>
      <c r="U54" s="54"/>
      <c r="V54" s="84"/>
      <c r="W54" s="84"/>
      <c r="X54" s="54"/>
      <c r="Y54" s="84"/>
      <c r="Z54" s="84"/>
      <c r="AA54" s="54"/>
      <c r="AB54" s="84"/>
      <c r="AC54" s="84"/>
      <c r="AD54" s="54"/>
      <c r="AE54" s="55"/>
      <c r="AF54" s="55"/>
      <c r="AG54" s="55"/>
      <c r="AH54" s="84"/>
      <c r="AI54" s="54"/>
      <c r="AJ54" s="55"/>
      <c r="AK54" s="55"/>
      <c r="AL54" s="55"/>
      <c r="AM54" s="89"/>
      <c r="AN54" s="91"/>
      <c r="AO54" s="60"/>
      <c r="AP54" s="59"/>
      <c r="AQ54" s="105"/>
    </row>
    <row r="55" spans="1:43" s="8" customFormat="1" ht="15.05" customHeight="1">
      <c r="A55" s="175"/>
      <c r="B55" s="200"/>
      <c r="C55" s="195">
        <v>4.5999999999999996</v>
      </c>
      <c r="D55" s="189" t="s">
        <v>311</v>
      </c>
      <c r="E55" s="188" t="s">
        <v>152</v>
      </c>
      <c r="F55" s="54"/>
      <c r="G55" s="55"/>
      <c r="H55" s="55"/>
      <c r="I55" s="55"/>
      <c r="J55" s="89"/>
      <c r="K55" s="54"/>
      <c r="L55" s="55"/>
      <c r="M55" s="55"/>
      <c r="N55" s="55"/>
      <c r="O55" s="89"/>
      <c r="P55" s="54"/>
      <c r="Q55" s="55"/>
      <c r="R55" s="55"/>
      <c r="S55" s="55"/>
      <c r="T55" s="84"/>
      <c r="U55" s="54"/>
      <c r="V55" s="84"/>
      <c r="W55" s="84"/>
      <c r="X55" s="54"/>
      <c r="Y55" s="84"/>
      <c r="Z55" s="84"/>
      <c r="AA55" s="54"/>
      <c r="AB55" s="84"/>
      <c r="AC55" s="84"/>
      <c r="AD55" s="54"/>
      <c r="AE55" s="55"/>
      <c r="AF55" s="55"/>
      <c r="AG55" s="55"/>
      <c r="AH55" s="84"/>
      <c r="AI55" s="54"/>
      <c r="AJ55" s="55"/>
      <c r="AK55" s="55"/>
      <c r="AL55" s="55"/>
      <c r="AM55" s="89"/>
      <c r="AN55" s="91"/>
      <c r="AO55" s="60"/>
      <c r="AP55" s="59"/>
      <c r="AQ55" s="105"/>
    </row>
    <row r="56" spans="1:43" s="8" customFormat="1">
      <c r="A56" s="175"/>
      <c r="B56" s="431"/>
      <c r="C56" s="432"/>
      <c r="D56" s="433"/>
      <c r="E56" s="409"/>
      <c r="F56" s="426"/>
      <c r="G56" s="427"/>
      <c r="H56" s="427"/>
      <c r="I56" s="427"/>
      <c r="J56" s="428"/>
      <c r="K56" s="426"/>
      <c r="L56" s="427"/>
      <c r="M56" s="427"/>
      <c r="N56" s="427"/>
      <c r="O56" s="428"/>
      <c r="P56" s="426"/>
      <c r="Q56" s="427"/>
      <c r="R56" s="427"/>
      <c r="S56" s="427"/>
      <c r="T56" s="429"/>
      <c r="U56" s="426"/>
      <c r="V56" s="429"/>
      <c r="W56" s="429"/>
      <c r="X56" s="426"/>
      <c r="Y56" s="429"/>
      <c r="Z56" s="429"/>
      <c r="AA56" s="426"/>
      <c r="AB56" s="429"/>
      <c r="AC56" s="429"/>
      <c r="AD56" s="426"/>
      <c r="AE56" s="427"/>
      <c r="AF56" s="427"/>
      <c r="AG56" s="427"/>
      <c r="AH56" s="429"/>
      <c r="AI56" s="426"/>
      <c r="AJ56" s="427"/>
      <c r="AK56" s="427"/>
      <c r="AL56" s="427"/>
      <c r="AM56" s="428"/>
      <c r="AN56" s="418"/>
      <c r="AO56" s="419"/>
      <c r="AP56" s="381"/>
      <c r="AQ56" s="430"/>
    </row>
    <row r="57" spans="1:43">
      <c r="B57" s="201" t="s">
        <v>5</v>
      </c>
      <c r="C57" s="197" t="s">
        <v>157</v>
      </c>
      <c r="D57" s="198"/>
      <c r="E57" s="421"/>
      <c r="F57" s="416"/>
      <c r="G57" s="414"/>
      <c r="H57" s="414"/>
      <c r="I57" s="414"/>
      <c r="J57" s="415"/>
      <c r="K57" s="416"/>
      <c r="L57" s="414"/>
      <c r="M57" s="414"/>
      <c r="N57" s="414"/>
      <c r="O57" s="415"/>
      <c r="P57" s="416"/>
      <c r="Q57" s="414"/>
      <c r="R57" s="414"/>
      <c r="S57" s="414"/>
      <c r="T57" s="417"/>
      <c r="U57" s="416"/>
      <c r="V57" s="417"/>
      <c r="W57" s="417"/>
      <c r="X57" s="416"/>
      <c r="Y57" s="417"/>
      <c r="Z57" s="417"/>
      <c r="AA57" s="416"/>
      <c r="AB57" s="417"/>
      <c r="AC57" s="417"/>
      <c r="AD57" s="416"/>
      <c r="AE57" s="414"/>
      <c r="AF57" s="414"/>
      <c r="AG57" s="414"/>
      <c r="AH57" s="417"/>
      <c r="AI57" s="416"/>
      <c r="AJ57" s="414"/>
      <c r="AK57" s="414"/>
      <c r="AL57" s="414"/>
      <c r="AM57" s="415"/>
      <c r="AN57" s="422"/>
      <c r="AO57" s="423"/>
      <c r="AP57" s="424"/>
      <c r="AQ57" s="425"/>
    </row>
    <row r="58" spans="1:43" ht="13.75" customHeight="1">
      <c r="B58" s="190"/>
      <c r="C58" s="195">
        <v>5.0999999999999996</v>
      </c>
      <c r="D58" s="189" t="s">
        <v>202</v>
      </c>
      <c r="E58" s="190" t="s">
        <v>29</v>
      </c>
      <c r="F58" s="54"/>
      <c r="G58" s="55"/>
      <c r="H58" s="55"/>
      <c r="I58" s="55"/>
      <c r="J58" s="89"/>
      <c r="K58" s="54"/>
      <c r="L58" s="55"/>
      <c r="M58" s="55"/>
      <c r="N58" s="55"/>
      <c r="O58" s="89"/>
      <c r="P58" s="54"/>
      <c r="Q58" s="55"/>
      <c r="R58" s="55"/>
      <c r="S58" s="55"/>
      <c r="T58" s="84"/>
      <c r="U58" s="54"/>
      <c r="V58" s="84"/>
      <c r="W58" s="84"/>
      <c r="X58" s="54"/>
      <c r="Y58" s="84"/>
      <c r="Z58" s="84"/>
      <c r="AA58" s="54"/>
      <c r="AB58" s="84"/>
      <c r="AC58" s="84"/>
      <c r="AD58" s="54"/>
      <c r="AE58" s="55"/>
      <c r="AF58" s="55"/>
      <c r="AG58" s="55"/>
      <c r="AH58" s="84"/>
      <c r="AI58" s="54"/>
      <c r="AJ58" s="55"/>
      <c r="AK58" s="55"/>
      <c r="AL58" s="55"/>
      <c r="AM58" s="89"/>
      <c r="AN58" s="91"/>
      <c r="AO58" s="60"/>
      <c r="AP58" s="59"/>
      <c r="AQ58" s="105"/>
    </row>
    <row r="59" spans="1:43">
      <c r="B59" s="190"/>
      <c r="C59" s="195">
        <v>5.2</v>
      </c>
      <c r="D59" s="189" t="s">
        <v>73</v>
      </c>
      <c r="E59" s="190" t="s">
        <v>30</v>
      </c>
      <c r="F59" s="54"/>
      <c r="G59" s="55"/>
      <c r="H59" s="55"/>
      <c r="I59" s="55"/>
      <c r="J59" s="89"/>
      <c r="K59" s="54"/>
      <c r="L59" s="55"/>
      <c r="M59" s="55"/>
      <c r="N59" s="55"/>
      <c r="O59" s="89"/>
      <c r="P59" s="54"/>
      <c r="Q59" s="55"/>
      <c r="R59" s="55"/>
      <c r="S59" s="55"/>
      <c r="T59" s="84"/>
      <c r="U59" s="54"/>
      <c r="V59" s="84"/>
      <c r="W59" s="84"/>
      <c r="X59" s="54"/>
      <c r="Y59" s="84"/>
      <c r="Z59" s="84"/>
      <c r="AA59" s="54"/>
      <c r="AB59" s="84"/>
      <c r="AC59" s="84"/>
      <c r="AD59" s="54"/>
      <c r="AE59" s="55"/>
      <c r="AF59" s="55"/>
      <c r="AG59" s="55"/>
      <c r="AH59" s="84"/>
      <c r="AI59" s="54"/>
      <c r="AJ59" s="55"/>
      <c r="AK59" s="55"/>
      <c r="AL59" s="55"/>
      <c r="AM59" s="89"/>
      <c r="AN59" s="91"/>
      <c r="AO59" s="60"/>
      <c r="AP59" s="59"/>
      <c r="AQ59" s="105"/>
    </row>
    <row r="60" spans="1:43">
      <c r="B60" s="190"/>
      <c r="C60" s="195">
        <v>5.3</v>
      </c>
      <c r="D60" s="191" t="s">
        <v>74</v>
      </c>
      <c r="E60" s="190" t="s">
        <v>31</v>
      </c>
      <c r="F60" s="54"/>
      <c r="G60" s="55"/>
      <c r="H60" s="55"/>
      <c r="I60" s="55"/>
      <c r="J60" s="89"/>
      <c r="K60" s="54"/>
      <c r="L60" s="55"/>
      <c r="M60" s="55"/>
      <c r="N60" s="55"/>
      <c r="O60" s="89"/>
      <c r="P60" s="54"/>
      <c r="Q60" s="55"/>
      <c r="R60" s="55"/>
      <c r="S60" s="55"/>
      <c r="T60" s="84"/>
      <c r="U60" s="54"/>
      <c r="V60" s="84"/>
      <c r="W60" s="84"/>
      <c r="X60" s="54"/>
      <c r="Y60" s="84"/>
      <c r="Z60" s="84"/>
      <c r="AA60" s="54"/>
      <c r="AB60" s="84"/>
      <c r="AC60" s="84"/>
      <c r="AD60" s="54"/>
      <c r="AE60" s="55"/>
      <c r="AF60" s="55"/>
      <c r="AG60" s="55"/>
      <c r="AH60" s="84"/>
      <c r="AI60" s="54"/>
      <c r="AJ60" s="55"/>
      <c r="AK60" s="55"/>
      <c r="AL60" s="55"/>
      <c r="AM60" s="89"/>
      <c r="AN60" s="91"/>
      <c r="AO60" s="60"/>
      <c r="AP60" s="59"/>
      <c r="AQ60" s="105"/>
    </row>
    <row r="61" spans="1:43">
      <c r="B61" s="190"/>
      <c r="C61" s="195">
        <v>5.4</v>
      </c>
      <c r="D61" s="191" t="s">
        <v>75</v>
      </c>
      <c r="E61" s="190" t="s">
        <v>32</v>
      </c>
      <c r="F61" s="54"/>
      <c r="G61" s="55"/>
      <c r="H61" s="55"/>
      <c r="I61" s="55"/>
      <c r="J61" s="89"/>
      <c r="K61" s="54"/>
      <c r="L61" s="55"/>
      <c r="M61" s="55"/>
      <c r="N61" s="55"/>
      <c r="O61" s="89"/>
      <c r="P61" s="54"/>
      <c r="Q61" s="55"/>
      <c r="R61" s="55"/>
      <c r="S61" s="55"/>
      <c r="T61" s="84"/>
      <c r="U61" s="54"/>
      <c r="V61" s="84"/>
      <c r="W61" s="84"/>
      <c r="X61" s="54"/>
      <c r="Y61" s="84"/>
      <c r="Z61" s="84"/>
      <c r="AA61" s="54"/>
      <c r="AB61" s="84"/>
      <c r="AC61" s="84"/>
      <c r="AD61" s="54"/>
      <c r="AE61" s="55"/>
      <c r="AF61" s="55"/>
      <c r="AG61" s="55"/>
      <c r="AH61" s="84"/>
      <c r="AI61" s="54"/>
      <c r="AJ61" s="55"/>
      <c r="AK61" s="55"/>
      <c r="AL61" s="55"/>
      <c r="AM61" s="89"/>
      <c r="AN61" s="91"/>
      <c r="AO61" s="60"/>
      <c r="AP61" s="59"/>
      <c r="AQ61" s="105"/>
    </row>
    <row r="62" spans="1:43">
      <c r="B62" s="190"/>
      <c r="C62" s="195">
        <v>5.5</v>
      </c>
      <c r="D62" s="191" t="s">
        <v>79</v>
      </c>
      <c r="E62" s="421"/>
      <c r="F62" s="416"/>
      <c r="G62" s="414"/>
      <c r="H62" s="414"/>
      <c r="I62" s="414"/>
      <c r="J62" s="415"/>
      <c r="K62" s="416"/>
      <c r="L62" s="414"/>
      <c r="M62" s="414"/>
      <c r="N62" s="414"/>
      <c r="O62" s="415"/>
      <c r="P62" s="416"/>
      <c r="Q62" s="414"/>
      <c r="R62" s="414"/>
      <c r="S62" s="414"/>
      <c r="T62" s="417"/>
      <c r="U62" s="416"/>
      <c r="V62" s="417"/>
      <c r="W62" s="417"/>
      <c r="X62" s="416"/>
      <c r="Y62" s="417"/>
      <c r="Z62" s="417"/>
      <c r="AA62" s="416"/>
      <c r="AB62" s="417"/>
      <c r="AC62" s="417"/>
      <c r="AD62" s="416"/>
      <c r="AE62" s="414"/>
      <c r="AF62" s="414"/>
      <c r="AG62" s="414"/>
      <c r="AH62" s="417"/>
      <c r="AI62" s="416"/>
      <c r="AJ62" s="414"/>
      <c r="AK62" s="414"/>
      <c r="AL62" s="414"/>
      <c r="AM62" s="415"/>
      <c r="AN62" s="422"/>
      <c r="AO62" s="423"/>
      <c r="AP62" s="424"/>
      <c r="AQ62" s="425"/>
    </row>
    <row r="63" spans="1:43">
      <c r="B63" s="190"/>
      <c r="C63" s="195"/>
      <c r="D63" s="191" t="s">
        <v>149</v>
      </c>
      <c r="E63" s="190"/>
      <c r="F63" s="103"/>
      <c r="G63" s="55"/>
      <c r="H63" s="55"/>
      <c r="I63" s="55"/>
      <c r="J63" s="89"/>
      <c r="K63" s="54"/>
      <c r="L63" s="55"/>
      <c r="M63" s="55"/>
      <c r="N63" s="55"/>
      <c r="O63" s="89"/>
      <c r="P63" s="54"/>
      <c r="Q63" s="55"/>
      <c r="R63" s="55"/>
      <c r="S63" s="55"/>
      <c r="T63" s="84"/>
      <c r="U63" s="54"/>
      <c r="V63" s="84"/>
      <c r="W63" s="84"/>
      <c r="X63" s="54"/>
      <c r="Y63" s="84"/>
      <c r="Z63" s="84"/>
      <c r="AA63" s="54"/>
      <c r="AB63" s="84"/>
      <c r="AC63" s="84"/>
      <c r="AD63" s="54"/>
      <c r="AE63" s="55"/>
      <c r="AF63" s="55"/>
      <c r="AG63" s="55"/>
      <c r="AH63" s="84"/>
      <c r="AI63" s="54"/>
      <c r="AJ63" s="55"/>
      <c r="AK63" s="55"/>
      <c r="AL63" s="55"/>
      <c r="AM63" s="89"/>
      <c r="AN63" s="63"/>
      <c r="AO63" s="86"/>
      <c r="AP63" s="57"/>
      <c r="AQ63" s="105"/>
    </row>
    <row r="64" spans="1:43">
      <c r="B64" s="190"/>
      <c r="C64" s="202"/>
      <c r="D64" s="191" t="s">
        <v>150</v>
      </c>
      <c r="E64" s="190"/>
      <c r="F64" s="103"/>
      <c r="G64" s="55"/>
      <c r="H64" s="55"/>
      <c r="I64" s="55"/>
      <c r="J64" s="89"/>
      <c r="K64" s="54"/>
      <c r="L64" s="55"/>
      <c r="M64" s="55"/>
      <c r="N64" s="55"/>
      <c r="O64" s="89"/>
      <c r="P64" s="54"/>
      <c r="Q64" s="55"/>
      <c r="R64" s="55"/>
      <c r="S64" s="55"/>
      <c r="T64" s="84"/>
      <c r="U64" s="54"/>
      <c r="V64" s="84"/>
      <c r="W64" s="84"/>
      <c r="X64" s="54"/>
      <c r="Y64" s="84"/>
      <c r="Z64" s="84"/>
      <c r="AA64" s="54"/>
      <c r="AB64" s="84"/>
      <c r="AC64" s="84"/>
      <c r="AD64" s="54"/>
      <c r="AE64" s="55"/>
      <c r="AF64" s="55"/>
      <c r="AG64" s="55"/>
      <c r="AH64" s="84"/>
      <c r="AI64" s="54"/>
      <c r="AJ64" s="55"/>
      <c r="AK64" s="55"/>
      <c r="AL64" s="55"/>
      <c r="AM64" s="89"/>
      <c r="AN64" s="63"/>
      <c r="AO64" s="86"/>
      <c r="AP64" s="57"/>
      <c r="AQ64" s="105"/>
    </row>
    <row r="65" spans="1:43">
      <c r="B65" s="190"/>
      <c r="C65" s="195">
        <v>5.6</v>
      </c>
      <c r="D65" s="191" t="s">
        <v>76</v>
      </c>
      <c r="E65" s="190"/>
      <c r="F65" s="54"/>
      <c r="G65" s="55"/>
      <c r="H65" s="55"/>
      <c r="I65" s="55"/>
      <c r="J65" s="89"/>
      <c r="K65" s="54"/>
      <c r="L65" s="55"/>
      <c r="M65" s="55"/>
      <c r="N65" s="55"/>
      <c r="O65" s="89"/>
      <c r="P65" s="54"/>
      <c r="Q65" s="55"/>
      <c r="R65" s="55"/>
      <c r="S65" s="55"/>
      <c r="T65" s="84"/>
      <c r="U65" s="54"/>
      <c r="V65" s="84"/>
      <c r="W65" s="84"/>
      <c r="X65" s="54"/>
      <c r="Y65" s="84"/>
      <c r="Z65" s="84"/>
      <c r="AA65" s="54"/>
      <c r="AB65" s="84"/>
      <c r="AC65" s="84"/>
      <c r="AD65" s="54"/>
      <c r="AE65" s="55"/>
      <c r="AF65" s="55"/>
      <c r="AG65" s="55"/>
      <c r="AH65" s="84"/>
      <c r="AI65" s="54"/>
      <c r="AJ65" s="55"/>
      <c r="AK65" s="55"/>
      <c r="AL65" s="55"/>
      <c r="AM65" s="89"/>
      <c r="AN65" s="91"/>
      <c r="AO65" s="60"/>
      <c r="AP65" s="59"/>
      <c r="AQ65" s="105"/>
    </row>
    <row r="66" spans="1:43" ht="24.9">
      <c r="B66" s="190"/>
      <c r="C66" s="195">
        <v>5.7</v>
      </c>
      <c r="D66" s="189" t="s">
        <v>148</v>
      </c>
      <c r="E66" s="188" t="s">
        <v>154</v>
      </c>
      <c r="F66" s="54"/>
      <c r="G66" s="55"/>
      <c r="H66" s="55"/>
      <c r="I66" s="55"/>
      <c r="J66" s="89"/>
      <c r="K66" s="54"/>
      <c r="L66" s="55"/>
      <c r="M66" s="55"/>
      <c r="N66" s="55"/>
      <c r="O66" s="89"/>
      <c r="P66" s="54"/>
      <c r="Q66" s="55"/>
      <c r="R66" s="55"/>
      <c r="S66" s="55"/>
      <c r="T66" s="84"/>
      <c r="U66" s="54"/>
      <c r="V66" s="84"/>
      <c r="W66" s="84"/>
      <c r="X66" s="54"/>
      <c r="Y66" s="84"/>
      <c r="Z66" s="84"/>
      <c r="AA66" s="54"/>
      <c r="AB66" s="84"/>
      <c r="AC66" s="84"/>
      <c r="AD66" s="54"/>
      <c r="AE66" s="55"/>
      <c r="AF66" s="55"/>
      <c r="AG66" s="55"/>
      <c r="AH66" s="84"/>
      <c r="AI66" s="54"/>
      <c r="AJ66" s="55"/>
      <c r="AK66" s="55"/>
      <c r="AL66" s="55"/>
      <c r="AM66" s="89"/>
      <c r="AN66" s="91"/>
      <c r="AO66" s="60"/>
      <c r="AP66" s="59"/>
      <c r="AQ66" s="105"/>
    </row>
    <row r="67" spans="1:43" ht="24.9">
      <c r="B67" s="190"/>
      <c r="C67" s="195">
        <v>5.8</v>
      </c>
      <c r="D67" s="189" t="s">
        <v>147</v>
      </c>
      <c r="E67" s="188" t="s">
        <v>153</v>
      </c>
      <c r="F67" s="103"/>
      <c r="G67" s="55"/>
      <c r="H67" s="55"/>
      <c r="I67" s="238"/>
      <c r="J67" s="239"/>
      <c r="K67" s="54"/>
      <c r="L67" s="70"/>
      <c r="M67" s="70"/>
      <c r="N67" s="238"/>
      <c r="O67" s="239"/>
      <c r="P67" s="54"/>
      <c r="Q67" s="70"/>
      <c r="R67" s="70"/>
      <c r="S67" s="238"/>
      <c r="T67" s="240"/>
      <c r="U67" s="54"/>
      <c r="V67" s="84"/>
      <c r="W67" s="84"/>
      <c r="X67" s="54"/>
      <c r="Y67" s="84"/>
      <c r="Z67" s="84"/>
      <c r="AA67" s="54"/>
      <c r="AB67" s="84"/>
      <c r="AC67" s="84"/>
      <c r="AD67" s="54"/>
      <c r="AE67" s="70"/>
      <c r="AF67" s="70"/>
      <c r="AG67" s="238"/>
      <c r="AH67" s="240"/>
      <c r="AI67" s="54"/>
      <c r="AJ67" s="70"/>
      <c r="AK67" s="70"/>
      <c r="AL67" s="238"/>
      <c r="AM67" s="239"/>
      <c r="AN67" s="63"/>
      <c r="AO67" s="86"/>
      <c r="AP67" s="57"/>
      <c r="AQ67" s="106"/>
    </row>
    <row r="68" spans="1:43" s="8" customFormat="1">
      <c r="A68" s="175"/>
      <c r="B68" s="410"/>
      <c r="C68" s="411"/>
      <c r="D68" s="412"/>
      <c r="E68" s="410"/>
      <c r="F68" s="413"/>
      <c r="G68" s="414"/>
      <c r="H68" s="414"/>
      <c r="I68" s="414"/>
      <c r="J68" s="415"/>
      <c r="K68" s="416"/>
      <c r="L68" s="414"/>
      <c r="M68" s="414"/>
      <c r="N68" s="414"/>
      <c r="O68" s="415"/>
      <c r="P68" s="416"/>
      <c r="Q68" s="414"/>
      <c r="R68" s="414"/>
      <c r="S68" s="414"/>
      <c r="T68" s="417"/>
      <c r="U68" s="416"/>
      <c r="V68" s="417"/>
      <c r="W68" s="417"/>
      <c r="X68" s="416"/>
      <c r="Y68" s="417"/>
      <c r="Z68" s="417"/>
      <c r="AA68" s="416"/>
      <c r="AB68" s="417"/>
      <c r="AC68" s="417"/>
      <c r="AD68" s="416"/>
      <c r="AE68" s="414"/>
      <c r="AF68" s="414"/>
      <c r="AG68" s="414"/>
      <c r="AH68" s="417"/>
      <c r="AI68" s="416"/>
      <c r="AJ68" s="414"/>
      <c r="AK68" s="414"/>
      <c r="AL68" s="414"/>
      <c r="AM68" s="415"/>
      <c r="AN68" s="418"/>
      <c r="AO68" s="419"/>
      <c r="AP68" s="381"/>
      <c r="AQ68" s="420"/>
    </row>
    <row r="69" spans="1:43">
      <c r="B69" s="203" t="s">
        <v>207</v>
      </c>
      <c r="C69" s="204" t="s">
        <v>6</v>
      </c>
      <c r="D69" s="205"/>
      <c r="E69" s="206" t="s">
        <v>33</v>
      </c>
      <c r="F69" s="241"/>
      <c r="G69" s="242"/>
      <c r="H69" s="242"/>
      <c r="I69" s="242"/>
      <c r="J69" s="243"/>
      <c r="K69" s="244"/>
      <c r="L69" s="242"/>
      <c r="M69" s="242"/>
      <c r="N69" s="242"/>
      <c r="O69" s="243"/>
      <c r="P69" s="244"/>
      <c r="Q69" s="242"/>
      <c r="R69" s="242"/>
      <c r="S69" s="242"/>
      <c r="T69" s="245"/>
      <c r="U69" s="244"/>
      <c r="V69" s="245"/>
      <c r="W69" s="245"/>
      <c r="X69" s="244"/>
      <c r="Y69" s="245"/>
      <c r="Z69" s="245"/>
      <c r="AA69" s="244"/>
      <c r="AB69" s="245"/>
      <c r="AC69" s="245"/>
      <c r="AD69" s="244"/>
      <c r="AE69" s="242"/>
      <c r="AF69" s="242"/>
      <c r="AG69" s="242"/>
      <c r="AH69" s="245"/>
      <c r="AI69" s="244"/>
      <c r="AJ69" s="242"/>
      <c r="AK69" s="242"/>
      <c r="AL69" s="242"/>
      <c r="AM69" s="243"/>
      <c r="AN69" s="246"/>
      <c r="AO69" s="247"/>
      <c r="AP69" s="248"/>
      <c r="AQ69" s="152"/>
    </row>
    <row r="70" spans="1:43">
      <c r="B70" s="201" t="s">
        <v>208</v>
      </c>
      <c r="C70" s="207" t="s">
        <v>158</v>
      </c>
      <c r="D70" s="208"/>
      <c r="E70" s="421"/>
      <c r="F70" s="416"/>
      <c r="G70" s="414"/>
      <c r="H70" s="414"/>
      <c r="I70" s="414"/>
      <c r="J70" s="415"/>
      <c r="K70" s="416"/>
      <c r="L70" s="414"/>
      <c r="M70" s="414"/>
      <c r="N70" s="414"/>
      <c r="O70" s="415"/>
      <c r="P70" s="416"/>
      <c r="Q70" s="414"/>
      <c r="R70" s="414"/>
      <c r="S70" s="414"/>
      <c r="T70" s="417"/>
      <c r="U70" s="416"/>
      <c r="V70" s="417"/>
      <c r="W70" s="417"/>
      <c r="X70" s="416"/>
      <c r="Y70" s="417"/>
      <c r="Z70" s="417"/>
      <c r="AA70" s="416"/>
      <c r="AB70" s="417"/>
      <c r="AC70" s="417"/>
      <c r="AD70" s="416"/>
      <c r="AE70" s="414"/>
      <c r="AF70" s="414"/>
      <c r="AG70" s="414"/>
      <c r="AH70" s="417"/>
      <c r="AI70" s="416"/>
      <c r="AJ70" s="414"/>
      <c r="AK70" s="414"/>
      <c r="AL70" s="414"/>
      <c r="AM70" s="415"/>
      <c r="AN70" s="418"/>
      <c r="AO70" s="419"/>
      <c r="AP70" s="381"/>
      <c r="AQ70" s="420"/>
    </row>
    <row r="71" spans="1:43">
      <c r="B71" s="187"/>
      <c r="C71" s="195">
        <v>7.1</v>
      </c>
      <c r="D71" s="191" t="s">
        <v>121</v>
      </c>
      <c r="E71" s="190" t="s">
        <v>35</v>
      </c>
      <c r="F71" s="104"/>
      <c r="G71" s="249"/>
      <c r="H71" s="249"/>
      <c r="I71" s="249"/>
      <c r="J71" s="90"/>
      <c r="K71" s="61"/>
      <c r="L71" s="249"/>
      <c r="M71" s="249"/>
      <c r="N71" s="249"/>
      <c r="O71" s="90"/>
      <c r="P71" s="61"/>
      <c r="Q71" s="249"/>
      <c r="R71" s="249"/>
      <c r="S71" s="249"/>
      <c r="T71" s="85"/>
      <c r="U71" s="61"/>
      <c r="V71" s="85"/>
      <c r="W71" s="85"/>
      <c r="X71" s="61"/>
      <c r="Y71" s="85"/>
      <c r="Z71" s="85"/>
      <c r="AA71" s="61"/>
      <c r="AB71" s="85"/>
      <c r="AC71" s="85"/>
      <c r="AD71" s="61"/>
      <c r="AE71" s="249"/>
      <c r="AF71" s="249"/>
      <c r="AG71" s="249"/>
      <c r="AH71" s="85"/>
      <c r="AI71" s="61"/>
      <c r="AJ71" s="249"/>
      <c r="AK71" s="249"/>
      <c r="AL71" s="249"/>
      <c r="AM71" s="90"/>
      <c r="AN71" s="107"/>
      <c r="AO71" s="87"/>
      <c r="AP71" s="62"/>
      <c r="AQ71" s="108"/>
    </row>
    <row r="72" spans="1:43">
      <c r="B72" s="187"/>
      <c r="C72" s="195">
        <v>7.2</v>
      </c>
      <c r="D72" s="191" t="s">
        <v>7</v>
      </c>
      <c r="E72" s="190" t="s">
        <v>36</v>
      </c>
      <c r="F72" s="104"/>
      <c r="G72" s="249"/>
      <c r="H72" s="249"/>
      <c r="I72" s="249"/>
      <c r="J72" s="90"/>
      <c r="K72" s="61"/>
      <c r="L72" s="249"/>
      <c r="M72" s="249"/>
      <c r="N72" s="249"/>
      <c r="O72" s="90"/>
      <c r="P72" s="61"/>
      <c r="Q72" s="249"/>
      <c r="R72" s="249"/>
      <c r="S72" s="249"/>
      <c r="T72" s="85"/>
      <c r="U72" s="61"/>
      <c r="V72" s="85"/>
      <c r="W72" s="85"/>
      <c r="X72" s="61"/>
      <c r="Y72" s="85"/>
      <c r="Z72" s="85"/>
      <c r="AA72" s="61"/>
      <c r="AB72" s="85"/>
      <c r="AC72" s="85"/>
      <c r="AD72" s="61"/>
      <c r="AE72" s="249"/>
      <c r="AF72" s="249"/>
      <c r="AG72" s="249"/>
      <c r="AH72" s="85"/>
      <c r="AI72" s="61"/>
      <c r="AJ72" s="249"/>
      <c r="AK72" s="249"/>
      <c r="AL72" s="249"/>
      <c r="AM72" s="90"/>
      <c r="AN72" s="107"/>
      <c r="AO72" s="87"/>
      <c r="AP72" s="62"/>
      <c r="AQ72" s="108"/>
    </row>
    <row r="73" spans="1:43">
      <c r="B73" s="187"/>
      <c r="C73" s="195">
        <v>7.3</v>
      </c>
      <c r="D73" s="191" t="s">
        <v>8</v>
      </c>
      <c r="E73" s="190" t="s">
        <v>37</v>
      </c>
      <c r="F73" s="282"/>
      <c r="G73" s="283"/>
      <c r="H73" s="283"/>
      <c r="I73" s="283"/>
      <c r="J73" s="284"/>
      <c r="K73" s="61"/>
      <c r="L73" s="249"/>
      <c r="M73" s="249"/>
      <c r="N73" s="249"/>
      <c r="O73" s="90"/>
      <c r="P73" s="61"/>
      <c r="Q73" s="249"/>
      <c r="R73" s="249"/>
      <c r="S73" s="249"/>
      <c r="T73" s="85"/>
      <c r="U73" s="282"/>
      <c r="V73" s="285"/>
      <c r="W73" s="285"/>
      <c r="X73" s="61"/>
      <c r="Y73" s="85"/>
      <c r="Z73" s="85"/>
      <c r="AA73" s="61"/>
      <c r="AB73" s="85"/>
      <c r="AC73" s="85"/>
      <c r="AD73" s="61"/>
      <c r="AE73" s="249"/>
      <c r="AF73" s="249"/>
      <c r="AG73" s="249"/>
      <c r="AH73" s="85"/>
      <c r="AI73" s="61"/>
      <c r="AJ73" s="249"/>
      <c r="AK73" s="249"/>
      <c r="AL73" s="249"/>
      <c r="AM73" s="90"/>
      <c r="AN73" s="107"/>
      <c r="AO73" s="87"/>
      <c r="AP73" s="62"/>
      <c r="AQ73" s="108"/>
    </row>
    <row r="74" spans="1:43">
      <c r="B74" s="187"/>
      <c r="C74" s="195">
        <v>7.4</v>
      </c>
      <c r="D74" s="191" t="s">
        <v>88</v>
      </c>
      <c r="E74" s="190" t="s">
        <v>38</v>
      </c>
      <c r="F74" s="104"/>
      <c r="G74" s="249"/>
      <c r="H74" s="249"/>
      <c r="I74" s="249"/>
      <c r="J74" s="90"/>
      <c r="K74" s="61"/>
      <c r="L74" s="249"/>
      <c r="M74" s="249"/>
      <c r="N74" s="249"/>
      <c r="O74" s="90"/>
      <c r="P74" s="61"/>
      <c r="Q74" s="249"/>
      <c r="R74" s="249"/>
      <c r="S74" s="249"/>
      <c r="T74" s="85"/>
      <c r="U74" s="61"/>
      <c r="V74" s="85"/>
      <c r="W74" s="85"/>
      <c r="X74" s="61"/>
      <c r="Y74" s="85"/>
      <c r="Z74" s="85"/>
      <c r="AA74" s="61"/>
      <c r="AB74" s="85"/>
      <c r="AC74" s="85"/>
      <c r="AD74" s="61"/>
      <c r="AE74" s="249"/>
      <c r="AF74" s="249"/>
      <c r="AG74" s="249"/>
      <c r="AH74" s="85"/>
      <c r="AI74" s="61"/>
      <c r="AJ74" s="249"/>
      <c r="AK74" s="249"/>
      <c r="AL74" s="249"/>
      <c r="AM74" s="90"/>
      <c r="AN74" s="107"/>
      <c r="AO74" s="87"/>
      <c r="AP74" s="62"/>
      <c r="AQ74" s="108"/>
    </row>
    <row r="75" spans="1:43" ht="13.1" thickBot="1">
      <c r="B75" s="193"/>
      <c r="C75" s="188">
        <v>7.5</v>
      </c>
      <c r="D75" s="191" t="s">
        <v>80</v>
      </c>
      <c r="E75" s="188"/>
      <c r="F75" s="488">
        <f>F74/12</f>
        <v>0</v>
      </c>
      <c r="G75" s="489">
        <f t="shared" ref="G75:AQ75" si="0">G74/12</f>
        <v>0</v>
      </c>
      <c r="H75" s="489">
        <f t="shared" si="0"/>
        <v>0</v>
      </c>
      <c r="I75" s="489">
        <f t="shared" si="0"/>
        <v>0</v>
      </c>
      <c r="J75" s="490">
        <f t="shared" si="0"/>
        <v>0</v>
      </c>
      <c r="K75" s="488">
        <f t="shared" si="0"/>
        <v>0</v>
      </c>
      <c r="L75" s="489">
        <f t="shared" si="0"/>
        <v>0</v>
      </c>
      <c r="M75" s="489">
        <f t="shared" si="0"/>
        <v>0</v>
      </c>
      <c r="N75" s="489">
        <f t="shared" si="0"/>
        <v>0</v>
      </c>
      <c r="O75" s="490">
        <f t="shared" si="0"/>
        <v>0</v>
      </c>
      <c r="P75" s="488">
        <f t="shared" si="0"/>
        <v>0</v>
      </c>
      <c r="Q75" s="489">
        <f t="shared" si="0"/>
        <v>0</v>
      </c>
      <c r="R75" s="489">
        <f t="shared" si="0"/>
        <v>0</v>
      </c>
      <c r="S75" s="489">
        <f t="shared" si="0"/>
        <v>0</v>
      </c>
      <c r="T75" s="491">
        <f t="shared" si="0"/>
        <v>0</v>
      </c>
      <c r="U75" s="488">
        <f t="shared" si="0"/>
        <v>0</v>
      </c>
      <c r="V75" s="491">
        <f t="shared" si="0"/>
        <v>0</v>
      </c>
      <c r="W75" s="490">
        <f t="shared" si="0"/>
        <v>0</v>
      </c>
      <c r="X75" s="488">
        <f t="shared" si="0"/>
        <v>0</v>
      </c>
      <c r="Y75" s="491">
        <f t="shared" si="0"/>
        <v>0</v>
      </c>
      <c r="Z75" s="490">
        <f t="shared" si="0"/>
        <v>0</v>
      </c>
      <c r="AA75" s="488">
        <f t="shared" si="0"/>
        <v>0</v>
      </c>
      <c r="AB75" s="491">
        <f t="shared" si="0"/>
        <v>0</v>
      </c>
      <c r="AC75" s="490">
        <f t="shared" si="0"/>
        <v>0</v>
      </c>
      <c r="AD75" s="488">
        <f t="shared" si="0"/>
        <v>0</v>
      </c>
      <c r="AE75" s="489">
        <f t="shared" si="0"/>
        <v>0</v>
      </c>
      <c r="AF75" s="489">
        <f t="shared" si="0"/>
        <v>0</v>
      </c>
      <c r="AG75" s="489">
        <f t="shared" si="0"/>
        <v>0</v>
      </c>
      <c r="AH75" s="491">
        <f t="shared" si="0"/>
        <v>0</v>
      </c>
      <c r="AI75" s="488">
        <f t="shared" si="0"/>
        <v>0</v>
      </c>
      <c r="AJ75" s="489">
        <f t="shared" si="0"/>
        <v>0</v>
      </c>
      <c r="AK75" s="489">
        <f t="shared" si="0"/>
        <v>0</v>
      </c>
      <c r="AL75" s="489">
        <f t="shared" si="0"/>
        <v>0</v>
      </c>
      <c r="AM75" s="490">
        <f t="shared" si="0"/>
        <v>0</v>
      </c>
      <c r="AN75" s="492">
        <f t="shared" si="0"/>
        <v>0</v>
      </c>
      <c r="AO75" s="493">
        <f t="shared" si="0"/>
        <v>0</v>
      </c>
      <c r="AP75" s="494">
        <f t="shared" si="0"/>
        <v>0</v>
      </c>
      <c r="AQ75" s="495">
        <f t="shared" si="0"/>
        <v>0</v>
      </c>
    </row>
    <row r="76" spans="1:43" ht="25.85" customHeight="1">
      <c r="B76" s="402"/>
      <c r="C76" s="403"/>
      <c r="D76" s="404"/>
      <c r="E76" s="405"/>
      <c r="F76" s="544" t="s">
        <v>306</v>
      </c>
      <c r="G76" s="77"/>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row>
    <row r="77" spans="1:43" ht="25.85" customHeight="1">
      <c r="B77" s="406"/>
      <c r="C77" s="407"/>
      <c r="D77" s="408"/>
      <c r="E77" s="409"/>
      <c r="F77" s="545"/>
      <c r="G77" s="77"/>
      <c r="H77" s="77"/>
      <c r="I77" s="77"/>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row>
    <row r="78" spans="1:43">
      <c r="B78" s="209" t="s">
        <v>209</v>
      </c>
      <c r="C78" s="210" t="s">
        <v>191</v>
      </c>
      <c r="D78" s="205"/>
      <c r="E78" s="211" t="s">
        <v>34</v>
      </c>
      <c r="F78" s="516"/>
      <c r="G78" s="10"/>
      <c r="H78" s="115"/>
      <c r="I78" s="10"/>
      <c r="J78" s="10"/>
      <c r="K78" s="10"/>
      <c r="L78" s="10"/>
      <c r="M78" s="115"/>
      <c r="N78" s="10"/>
      <c r="O78" s="10"/>
      <c r="P78" s="10"/>
      <c r="Q78" s="10"/>
      <c r="R78" s="115"/>
      <c r="S78" s="10"/>
      <c r="T78" s="10"/>
      <c r="U78" s="10"/>
      <c r="V78" s="10"/>
      <c r="W78" s="115"/>
      <c r="X78" s="10"/>
      <c r="Y78" s="10"/>
      <c r="Z78" s="115"/>
      <c r="AA78" s="10"/>
      <c r="AB78" s="10"/>
      <c r="AC78" s="115"/>
      <c r="AD78" s="115"/>
      <c r="AE78" s="10"/>
      <c r="AF78" s="115"/>
      <c r="AG78" s="10"/>
      <c r="AH78" s="10"/>
      <c r="AI78" s="10"/>
      <c r="AJ78" s="10"/>
      <c r="AK78" s="115"/>
      <c r="AL78" s="10"/>
      <c r="AM78" s="10"/>
      <c r="AN78" s="10"/>
      <c r="AO78" s="10"/>
      <c r="AP78" s="10"/>
      <c r="AQ78" s="10"/>
    </row>
    <row r="79" spans="1:43" ht="13.1" thickBot="1">
      <c r="B79" s="212" t="s">
        <v>210</v>
      </c>
      <c r="C79" s="213" t="s">
        <v>184</v>
      </c>
      <c r="D79" s="214"/>
      <c r="E79" s="215" t="s">
        <v>62</v>
      </c>
      <c r="F79" s="250"/>
      <c r="G79" s="10"/>
      <c r="H79" s="115"/>
      <c r="I79" s="10"/>
      <c r="J79" s="10"/>
      <c r="K79" s="10"/>
      <c r="L79" s="10"/>
      <c r="M79" s="115"/>
      <c r="N79" s="10"/>
      <c r="O79" s="10"/>
      <c r="P79" s="10"/>
      <c r="Q79" s="10"/>
      <c r="R79" s="115"/>
      <c r="S79" s="10"/>
      <c r="T79" s="10"/>
      <c r="U79" s="10"/>
      <c r="V79" s="10"/>
      <c r="W79" s="115"/>
      <c r="X79" s="10"/>
      <c r="Y79" s="10"/>
      <c r="Z79" s="115"/>
      <c r="AA79" s="10"/>
      <c r="AB79" s="10"/>
      <c r="AC79" s="115"/>
      <c r="AD79" s="115"/>
      <c r="AE79" s="10"/>
      <c r="AF79" s="115"/>
      <c r="AG79" s="10"/>
      <c r="AH79" s="10"/>
      <c r="AI79" s="10"/>
      <c r="AJ79" s="10"/>
      <c r="AK79" s="115"/>
      <c r="AL79" s="10"/>
      <c r="AM79" s="10"/>
      <c r="AN79" s="10"/>
      <c r="AO79" s="10"/>
      <c r="AP79" s="10"/>
      <c r="AQ79" s="10"/>
    </row>
    <row r="80" spans="1:43">
      <c r="F80" s="10"/>
      <c r="G80" s="10"/>
      <c r="H80" s="115"/>
      <c r="I80" s="10"/>
      <c r="J80" s="10"/>
      <c r="K80" s="10"/>
      <c r="L80" s="10"/>
      <c r="M80" s="115"/>
      <c r="N80" s="10"/>
      <c r="O80" s="10"/>
      <c r="P80" s="10"/>
      <c r="Q80" s="10"/>
      <c r="R80" s="115"/>
      <c r="S80" s="10"/>
      <c r="T80" s="10"/>
      <c r="U80" s="10"/>
      <c r="V80" s="10"/>
      <c r="W80" s="115"/>
      <c r="X80" s="10"/>
      <c r="Y80" s="10"/>
      <c r="Z80" s="115"/>
      <c r="AA80" s="10"/>
      <c r="AB80" s="10"/>
      <c r="AC80" s="115"/>
      <c r="AD80" s="115"/>
      <c r="AE80" s="10"/>
      <c r="AF80" s="115"/>
      <c r="AG80" s="10"/>
      <c r="AH80" s="10"/>
      <c r="AI80" s="10"/>
      <c r="AJ80" s="10"/>
      <c r="AK80" s="115"/>
      <c r="AL80" s="10"/>
      <c r="AM80" s="10"/>
      <c r="AN80" s="10"/>
      <c r="AO80" s="10"/>
      <c r="AP80" s="10"/>
    </row>
    <row r="81" spans="2:42" ht="13.1">
      <c r="B81" s="216" t="s">
        <v>225</v>
      </c>
      <c r="C81" s="216"/>
      <c r="D81" s="216"/>
      <c r="E81" s="217"/>
      <c r="F81" s="10"/>
      <c r="G81" s="10"/>
      <c r="H81" s="115"/>
      <c r="I81" s="10"/>
      <c r="J81" s="10"/>
      <c r="K81" s="10"/>
      <c r="L81" s="10"/>
      <c r="M81" s="115"/>
      <c r="N81" s="10"/>
      <c r="O81" s="10"/>
      <c r="P81" s="10"/>
      <c r="Q81" s="10"/>
      <c r="R81" s="115"/>
      <c r="S81" s="10"/>
      <c r="T81" s="10"/>
      <c r="U81" s="10"/>
      <c r="V81" s="10"/>
      <c r="W81" s="115"/>
      <c r="X81" s="10"/>
      <c r="Y81" s="10"/>
      <c r="Z81" s="115"/>
      <c r="AA81" s="10"/>
      <c r="AB81" s="10"/>
      <c r="AC81" s="115"/>
      <c r="AD81" s="115"/>
      <c r="AE81" s="10"/>
      <c r="AF81" s="115"/>
      <c r="AG81" s="10"/>
      <c r="AH81" s="10"/>
      <c r="AI81" s="10"/>
      <c r="AJ81" s="10"/>
      <c r="AK81" s="115"/>
      <c r="AL81" s="10"/>
    </row>
    <row r="82" spans="2:42" ht="13.1" customHeight="1">
      <c r="B82" s="216"/>
      <c r="C82" s="513" t="s">
        <v>226</v>
      </c>
      <c r="D82" s="513"/>
      <c r="E82" s="217"/>
      <c r="F82" s="10"/>
      <c r="G82" s="10"/>
      <c r="H82" s="115"/>
      <c r="I82" s="10"/>
      <c r="J82" s="10"/>
      <c r="K82" s="10"/>
      <c r="L82" s="10"/>
      <c r="M82" s="115"/>
      <c r="N82" s="10"/>
      <c r="O82" s="10"/>
      <c r="P82" s="10"/>
      <c r="Q82" s="10"/>
      <c r="R82" s="115"/>
      <c r="S82" s="10"/>
      <c r="T82" s="10"/>
      <c r="U82" s="10"/>
      <c r="V82" s="10"/>
      <c r="W82" s="115"/>
      <c r="X82" s="10"/>
      <c r="Y82" s="10"/>
      <c r="Z82" s="115"/>
      <c r="AA82" s="10"/>
      <c r="AB82" s="10"/>
      <c r="AC82" s="115"/>
      <c r="AD82" s="115"/>
      <c r="AE82" s="10"/>
      <c r="AF82" s="115"/>
      <c r="AG82" s="10"/>
      <c r="AH82" s="10"/>
      <c r="AI82" s="10"/>
      <c r="AJ82" s="10"/>
      <c r="AK82" s="115"/>
      <c r="AL82" s="10"/>
    </row>
    <row r="83" spans="2:42" ht="13.1">
      <c r="B83" s="216"/>
      <c r="C83" s="216" t="s">
        <v>314</v>
      </c>
      <c r="D83" s="49"/>
      <c r="F83" s="10"/>
      <c r="G83" s="10"/>
      <c r="H83" s="115"/>
      <c r="I83" s="10"/>
      <c r="J83" s="10"/>
      <c r="K83" s="10"/>
      <c r="L83" s="10"/>
      <c r="M83" s="115"/>
      <c r="N83" s="10"/>
      <c r="O83" s="10"/>
      <c r="P83" s="10"/>
      <c r="Q83" s="10"/>
      <c r="R83" s="115"/>
      <c r="S83" s="10"/>
      <c r="T83" s="10"/>
      <c r="U83" s="10"/>
      <c r="V83" s="10"/>
      <c r="W83" s="115"/>
      <c r="X83" s="10"/>
      <c r="Y83" s="10"/>
      <c r="Z83" s="115"/>
      <c r="AA83" s="10"/>
      <c r="AB83" s="10"/>
      <c r="AC83" s="115"/>
      <c r="AD83" s="115"/>
      <c r="AE83" s="10"/>
      <c r="AF83" s="115"/>
      <c r="AG83" s="10"/>
      <c r="AH83" s="10"/>
      <c r="AI83" s="10"/>
      <c r="AJ83" s="10"/>
      <c r="AK83" s="115"/>
      <c r="AL83" s="10"/>
      <c r="AM83" s="10"/>
      <c r="AN83" s="10"/>
      <c r="AO83" s="10"/>
      <c r="AP83" s="10"/>
    </row>
    <row r="84" spans="2:42" ht="13.1" customHeight="1">
      <c r="B84" s="216"/>
      <c r="C84" s="216" t="s">
        <v>313</v>
      </c>
      <c r="D84" s="49"/>
    </row>
    <row r="85" spans="2:42" ht="13.1" customHeight="1">
      <c r="C85" s="513" t="s">
        <v>315</v>
      </c>
      <c r="D85" s="512"/>
    </row>
    <row r="86" spans="2:42" ht="13.1" customHeight="1">
      <c r="C86" s="513" t="s">
        <v>316</v>
      </c>
      <c r="D86" s="513"/>
    </row>
  </sheetData>
  <dataConsolidate/>
  <mergeCells count="28">
    <mergeCell ref="F76:F77"/>
    <mergeCell ref="I12:J12"/>
    <mergeCell ref="L12:M12"/>
    <mergeCell ref="B17:D18"/>
    <mergeCell ref="AN15:AN16"/>
    <mergeCell ref="E17:E18"/>
    <mergeCell ref="AD16:AH16"/>
    <mergeCell ref="AI16:AM16"/>
    <mergeCell ref="U16:W16"/>
    <mergeCell ref="X16:Z16"/>
    <mergeCell ref="AA16:AC16"/>
    <mergeCell ref="U15:AC15"/>
    <mergeCell ref="F6:G6"/>
    <mergeCell ref="AQ15:AQ16"/>
    <mergeCell ref="AP15:AP16"/>
    <mergeCell ref="AO15:AO16"/>
    <mergeCell ref="F8:G8"/>
    <mergeCell ref="F10:G10"/>
    <mergeCell ref="F12:G12"/>
    <mergeCell ref="F15:T15"/>
    <mergeCell ref="AD15:AM15"/>
    <mergeCell ref="F16:J16"/>
    <mergeCell ref="K16:O16"/>
    <mergeCell ref="P16:T16"/>
    <mergeCell ref="L8:M8"/>
    <mergeCell ref="L10:M10"/>
    <mergeCell ref="I8:J8"/>
    <mergeCell ref="I10:J10"/>
  </mergeCells>
  <phoneticPr fontId="22" type="noConversion"/>
  <conditionalFormatting sqref="AL71:AQ74 AG71:AI74 AA71:AA74 X71:X74 U71:U72 U74 S71:T74 N71:P74 K71:K74 I71:J72 I74:J74 F74 F71:F72 AN67:AQ67 AI67 U67 P67 K67 I63:K66 AL60:AQ61 AL63:AQ66 X60:X61 X63:X67 AA60:AA61 AA63:AA67 AG60:AI61 AG63:AI66 S60:U61 S63:U66 N60:P61 N63:P66 F60:F61 F63:F67 I60:K61 AQ69 AL44:AQ47 X44:X47 AA44:AA47 AG44:AI47 S44:U47 N44:P47 F44:F47 I44:K47 AN29:AP37 AI29:AI37 U32:U37 X32:X37 AA32:AA37 P29:P37 K29:K37 F29:F37 AN23:AP25 AI23:AI25 U23:U25 P23:P25 AL21:AP22 X21:X25 AA21:AA25 AG21:AI22 S21:U22 K21:K25 N21:P22 F21:F25 I22:J22 X41:X42 AA41:AA42 AG41:AI42 S41:U42 N41:P42 F41:F42 I41:K42 AL41:AQ42 G29:H31 L29:M31 Q29:R31 U29:AC31 AE29:AF31 AD71:AD74 AD60:AD61 AD63:AD67 AD44:AD47 AD29:AD37 AD21:AD25 AD41:AD42 AJ29:AK31">
    <cfRule type="cellIs" dxfId="2" priority="23" stopIfTrue="1" operator="lessThan">
      <formula>0</formula>
    </cfRule>
  </conditionalFormatting>
  <dataValidations count="1">
    <dataValidation type="list" allowBlank="1" showErrorMessage="1" sqref="I12:J12">
      <formula1>STATES_ONLY_LIST</formula1>
    </dataValidation>
  </dataValidations>
  <pageMargins left="0.2" right="0.2" top="0.35" bottom="0.25" header="0.2" footer="0.2"/>
  <pageSetup scale="50" fitToWidth="0" pageOrder="overThenDown" orientation="landscape" cellComments="asDisplayed" r:id="rId1"/>
  <headerFooter alignWithMargins="0">
    <oddFooter>&amp;L&amp;F &amp;C Page &amp;P of &amp;N&amp;R[&amp;A]</oddFooter>
  </headerFooter>
  <extLst>
    <ext xmlns:x14="http://schemas.microsoft.com/office/spreadsheetml/2009/9/main" uri="{CCE6A557-97BC-4b89-ADB6-D9C93CAAB3DF}">
      <x14:dataValidations xmlns:xm="http://schemas.microsoft.com/office/excel/2006/main" count="3">
        <x14:dataValidation type="list" allowBlank="1" showErrorMessage="1">
          <x14:formula1>
            <xm:f>Tables!$P$5:$P$54</xm:f>
          </x14:formula1>
          <xm:sqref>L12:M12</xm:sqref>
        </x14:dataValidation>
        <x14:dataValidation type="list" allowBlank="1" showErrorMessage="1">
          <x14:formula1>
            <xm:f>Tables!$R$5:$R$6</xm:f>
          </x14:formula1>
          <xm:sqref>L8:M8</xm:sqref>
        </x14:dataValidation>
        <x14:dataValidation type="list" allowBlank="1" showErrorMessage="1">
          <x14:formula1>
            <xm:f>Tables!H$5:H$63</xm:f>
          </x14:formula1>
          <xm:sqref>I10:J10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Q77"/>
  <sheetViews>
    <sheetView topLeftCell="B15" zoomScale="80" zoomScaleNormal="80" workbookViewId="0">
      <pane xSplit="3" ySplit="4" topLeftCell="E19" activePane="bottomRight" state="frozen"/>
      <selection activeCell="B15" sqref="B15"/>
      <selection pane="topRight" activeCell="E15" sqref="E15"/>
      <selection pane="bottomLeft" activeCell="B19" sqref="B19"/>
      <selection pane="bottomRight" activeCell="E19" sqref="E19"/>
    </sheetView>
  </sheetViews>
  <sheetFormatPr defaultColWidth="9.25" defaultRowHeight="12.45"/>
  <cols>
    <col min="1" max="1" width="1.75" style="8" customWidth="1"/>
    <col min="2" max="2" width="3.625" style="5" customWidth="1"/>
    <col min="3" max="3" width="5.375" style="5" customWidth="1"/>
    <col min="4" max="4" width="69.375" style="5" customWidth="1"/>
    <col min="5" max="5" width="18.625" style="5" customWidth="1"/>
    <col min="6" max="7" width="19.375" style="5" customWidth="1"/>
    <col min="8" max="8" width="19.375" style="8" customWidth="1"/>
    <col min="9" max="12" width="19.375" style="5" customWidth="1"/>
    <col min="13" max="13" width="19.375" style="8" customWidth="1"/>
    <col min="14" max="17" width="19.375" style="5" customWidth="1"/>
    <col min="18" max="18" width="19.375" style="8" customWidth="1"/>
    <col min="19" max="22" width="19.375" style="5" customWidth="1"/>
    <col min="23" max="23" width="19.375" style="8" customWidth="1"/>
    <col min="24" max="25" width="19.375" style="5" customWidth="1"/>
    <col min="26" max="26" width="19.375" style="8" customWidth="1"/>
    <col min="27" max="28" width="19.375" style="5" customWidth="1"/>
    <col min="29" max="29" width="19.375" style="8" customWidth="1"/>
    <col min="30" max="31" width="19.375" style="5" customWidth="1"/>
    <col min="32" max="32" width="19.375" style="8" customWidth="1"/>
    <col min="33" max="36" width="19.375" style="5" customWidth="1"/>
    <col min="37" max="37" width="19.375" style="8" customWidth="1"/>
    <col min="38" max="43" width="19.375" style="5" customWidth="1"/>
    <col min="44" max="16384" width="9.25" style="5"/>
  </cols>
  <sheetData>
    <row r="1" spans="1:43" ht="13.1">
      <c r="B1" s="1" t="s">
        <v>0</v>
      </c>
    </row>
    <row r="2" spans="1:43" ht="15.05">
      <c r="B2" s="1" t="s">
        <v>317</v>
      </c>
      <c r="E2" s="88"/>
      <c r="U2" s="1"/>
      <c r="V2" s="1"/>
      <c r="X2" s="1"/>
      <c r="Y2" s="1"/>
    </row>
    <row r="3" spans="1:43" ht="13.1">
      <c r="B3" s="1" t="s">
        <v>224</v>
      </c>
      <c r="D3" s="122"/>
      <c r="U3" s="1"/>
      <c r="V3" s="1"/>
      <c r="X3" s="1"/>
      <c r="Y3" s="1"/>
    </row>
    <row r="4" spans="1:43" ht="13.1">
      <c r="U4" s="1"/>
      <c r="V4" s="1"/>
      <c r="X4" s="1"/>
      <c r="Y4" s="1"/>
    </row>
    <row r="5" spans="1:43" s="6" customFormat="1" ht="13.1">
      <c r="A5" s="27"/>
      <c r="B5" s="12"/>
      <c r="E5" s="12"/>
      <c r="F5" s="5"/>
      <c r="G5" s="5"/>
      <c r="H5" s="8"/>
      <c r="I5" s="1"/>
      <c r="J5" s="5"/>
      <c r="K5" s="5"/>
      <c r="M5" s="27"/>
      <c r="N5" s="5"/>
      <c r="P5" s="5"/>
      <c r="Q5" s="5"/>
      <c r="R5" s="8"/>
      <c r="S5" s="5"/>
      <c r="W5" s="27"/>
      <c r="Z5" s="27"/>
      <c r="AC5" s="27"/>
      <c r="AF5" s="27"/>
      <c r="AK5" s="27"/>
    </row>
    <row r="6" spans="1:43" s="6" customFormat="1" ht="13.1">
      <c r="A6" s="27"/>
      <c r="B6" s="43"/>
      <c r="C6" s="43"/>
      <c r="D6" s="174"/>
      <c r="F6" s="557"/>
      <c r="G6" s="557"/>
      <c r="H6" s="8"/>
      <c r="I6" s="42"/>
      <c r="J6" s="45"/>
      <c r="K6" s="5"/>
      <c r="L6" s="76"/>
      <c r="M6" s="76"/>
      <c r="N6" s="76"/>
      <c r="O6" s="75"/>
      <c r="R6" s="27"/>
      <c r="W6" s="27"/>
      <c r="Z6" s="27"/>
      <c r="AC6" s="27"/>
      <c r="AF6" s="27"/>
      <c r="AK6" s="27"/>
    </row>
    <row r="7" spans="1:43" s="6" customFormat="1">
      <c r="A7" s="27"/>
      <c r="B7" s="12"/>
      <c r="F7" s="5"/>
      <c r="G7" s="5"/>
      <c r="H7" s="8"/>
      <c r="I7" s="5"/>
      <c r="K7" s="5"/>
      <c r="L7" s="8"/>
      <c r="M7" s="8"/>
      <c r="N7" s="8"/>
      <c r="R7" s="27"/>
      <c r="W7" s="27"/>
      <c r="Z7" s="27"/>
      <c r="AC7" s="27"/>
      <c r="AF7" s="27"/>
      <c r="AK7" s="27"/>
    </row>
    <row r="8" spans="1:43" s="6" customFormat="1">
      <c r="A8" s="27"/>
      <c r="B8" s="43"/>
      <c r="C8" s="43"/>
      <c r="D8" s="174"/>
      <c r="F8" s="557"/>
      <c r="G8" s="557"/>
      <c r="H8" s="8"/>
      <c r="I8" s="557"/>
      <c r="J8" s="558"/>
      <c r="K8" s="5"/>
      <c r="L8" s="557"/>
      <c r="M8" s="557"/>
      <c r="N8" s="76"/>
      <c r="P8" s="5"/>
      <c r="Q8" s="5"/>
      <c r="R8" s="8"/>
      <c r="S8" s="5"/>
      <c r="W8" s="27"/>
      <c r="Z8" s="27"/>
      <c r="AC8" s="27"/>
      <c r="AF8" s="27"/>
      <c r="AK8" s="27"/>
    </row>
    <row r="9" spans="1:43" s="6" customFormat="1" ht="13.1">
      <c r="A9" s="27"/>
      <c r="D9" s="13"/>
      <c r="F9" s="9"/>
      <c r="G9" s="9"/>
      <c r="H9" s="8"/>
      <c r="M9" s="27"/>
      <c r="N9" s="76"/>
      <c r="O9" s="44"/>
      <c r="P9" s="5"/>
      <c r="Q9" s="5"/>
      <c r="R9" s="8"/>
      <c r="S9" s="5"/>
      <c r="W9" s="27"/>
      <c r="Z9" s="27"/>
      <c r="AC9" s="27"/>
      <c r="AF9" s="27"/>
      <c r="AK9" s="27"/>
    </row>
    <row r="10" spans="1:43" s="6" customFormat="1" ht="13.1">
      <c r="A10" s="27"/>
      <c r="D10" s="174"/>
      <c r="F10" s="557"/>
      <c r="G10" s="557"/>
      <c r="H10" s="8"/>
      <c r="I10" s="557"/>
      <c r="J10" s="558"/>
      <c r="L10" s="557"/>
      <c r="M10" s="557"/>
      <c r="N10" s="76"/>
      <c r="O10" s="44"/>
      <c r="P10" s="5"/>
      <c r="Q10" s="5"/>
      <c r="R10" s="8"/>
      <c r="S10" s="5"/>
      <c r="W10" s="27"/>
      <c r="Z10" s="27"/>
      <c r="AC10" s="27"/>
      <c r="AF10" s="27"/>
      <c r="AK10" s="27"/>
    </row>
    <row r="11" spans="1:43" s="6" customFormat="1" ht="13.1">
      <c r="A11" s="27"/>
      <c r="D11" s="13"/>
      <c r="F11" s="9"/>
      <c r="G11" s="9"/>
      <c r="H11" s="8"/>
      <c r="L11" s="83"/>
      <c r="M11" s="76"/>
      <c r="N11" s="76"/>
      <c r="O11" s="44"/>
      <c r="P11" s="5"/>
      <c r="Q11" s="5"/>
      <c r="R11" s="8"/>
      <c r="S11" s="5"/>
      <c r="W11" s="27"/>
      <c r="Z11" s="27"/>
      <c r="AC11" s="27"/>
      <c r="AF11" s="27"/>
      <c r="AK11" s="27"/>
    </row>
    <row r="12" spans="1:43" s="6" customFormat="1" ht="13.1">
      <c r="A12" s="27"/>
      <c r="D12" s="174"/>
      <c r="F12" s="557"/>
      <c r="G12" s="557"/>
      <c r="H12" s="8"/>
      <c r="I12" s="557"/>
      <c r="J12" s="558"/>
      <c r="L12" s="557"/>
      <c r="M12" s="557"/>
      <c r="N12" s="76"/>
      <c r="O12" s="44"/>
      <c r="P12" s="5"/>
      <c r="Q12" s="5"/>
      <c r="R12" s="8"/>
      <c r="S12" s="5"/>
      <c r="W12" s="27"/>
      <c r="Z12" s="27"/>
      <c r="AC12" s="27"/>
      <c r="AF12" s="27"/>
      <c r="AK12" s="27"/>
    </row>
    <row r="13" spans="1:43" s="6" customFormat="1">
      <c r="A13" s="27"/>
      <c r="B13" s="5"/>
      <c r="C13" s="5"/>
      <c r="D13" s="8"/>
      <c r="H13" s="27"/>
      <c r="K13" s="11"/>
      <c r="L13" s="11"/>
      <c r="M13" s="117"/>
      <c r="N13" s="83"/>
      <c r="P13" s="5"/>
      <c r="Q13" s="5"/>
      <c r="R13" s="8"/>
      <c r="S13" s="5"/>
      <c r="W13" s="27"/>
      <c r="Z13" s="27"/>
      <c r="AC13" s="27"/>
      <c r="AF13" s="27"/>
      <c r="AK13" s="27"/>
    </row>
    <row r="14" spans="1:43" ht="13.1" thickBot="1">
      <c r="D14" s="173"/>
    </row>
    <row r="15" spans="1:43" ht="13.75" customHeight="1" thickBot="1">
      <c r="D15" s="8"/>
      <c r="F15" s="574" t="s">
        <v>123</v>
      </c>
      <c r="G15" s="575"/>
      <c r="H15" s="575"/>
      <c r="I15" s="575"/>
      <c r="J15" s="575"/>
      <c r="K15" s="575"/>
      <c r="L15" s="575"/>
      <c r="M15" s="575"/>
      <c r="N15" s="575"/>
      <c r="O15" s="575"/>
      <c r="P15" s="575"/>
      <c r="Q15" s="575"/>
      <c r="R15" s="575"/>
      <c r="S15" s="575"/>
      <c r="T15" s="576"/>
      <c r="U15" s="574" t="s">
        <v>66</v>
      </c>
      <c r="V15" s="575"/>
      <c r="W15" s="575"/>
      <c r="X15" s="575"/>
      <c r="Y15" s="575"/>
      <c r="Z15" s="575"/>
      <c r="AA15" s="575"/>
      <c r="AB15" s="575"/>
      <c r="AC15" s="576"/>
      <c r="AD15" s="574" t="s">
        <v>52</v>
      </c>
      <c r="AE15" s="575"/>
      <c r="AF15" s="575"/>
      <c r="AG15" s="575"/>
      <c r="AH15" s="575"/>
      <c r="AI15" s="575"/>
      <c r="AJ15" s="575"/>
      <c r="AK15" s="575"/>
      <c r="AL15" s="575"/>
      <c r="AM15" s="576"/>
      <c r="AN15" s="567" t="s">
        <v>101</v>
      </c>
      <c r="AO15" s="567" t="s">
        <v>83</v>
      </c>
      <c r="AP15" s="577" t="s">
        <v>67</v>
      </c>
      <c r="AQ15" s="567" t="s">
        <v>57</v>
      </c>
    </row>
    <row r="16" spans="1:43" s="2" customFormat="1" ht="13.1" thickBot="1">
      <c r="A16" s="4"/>
      <c r="D16" s="4"/>
      <c r="F16" s="569" t="s">
        <v>43</v>
      </c>
      <c r="G16" s="570"/>
      <c r="H16" s="570"/>
      <c r="I16" s="570"/>
      <c r="J16" s="571"/>
      <c r="K16" s="569" t="s">
        <v>44</v>
      </c>
      <c r="L16" s="570"/>
      <c r="M16" s="570"/>
      <c r="N16" s="570"/>
      <c r="O16" s="571"/>
      <c r="P16" s="569" t="s">
        <v>45</v>
      </c>
      <c r="Q16" s="570"/>
      <c r="R16" s="570"/>
      <c r="S16" s="570"/>
      <c r="T16" s="571"/>
      <c r="U16" s="572" t="s">
        <v>43</v>
      </c>
      <c r="V16" s="570"/>
      <c r="W16" s="573"/>
      <c r="X16" s="572" t="s">
        <v>44</v>
      </c>
      <c r="Y16" s="570"/>
      <c r="Z16" s="573"/>
      <c r="AA16" s="572" t="s">
        <v>45</v>
      </c>
      <c r="AB16" s="570"/>
      <c r="AC16" s="573"/>
      <c r="AD16" s="569" t="s">
        <v>44</v>
      </c>
      <c r="AE16" s="570"/>
      <c r="AF16" s="570"/>
      <c r="AG16" s="570"/>
      <c r="AH16" s="571"/>
      <c r="AI16" s="569" t="s">
        <v>45</v>
      </c>
      <c r="AJ16" s="570"/>
      <c r="AK16" s="570"/>
      <c r="AL16" s="570"/>
      <c r="AM16" s="571"/>
      <c r="AN16" s="568"/>
      <c r="AO16" s="568"/>
      <c r="AP16" s="578"/>
      <c r="AQ16" s="568"/>
    </row>
    <row r="17" spans="2:43" ht="25.55" thickBot="1">
      <c r="B17" s="559" t="s">
        <v>319</v>
      </c>
      <c r="C17" s="560"/>
      <c r="D17" s="561"/>
      <c r="E17" s="565" t="s">
        <v>78</v>
      </c>
      <c r="F17" s="97" t="s">
        <v>303</v>
      </c>
      <c r="G17" s="98" t="s">
        <v>304</v>
      </c>
      <c r="H17" s="116" t="s">
        <v>305</v>
      </c>
      <c r="I17" s="99" t="s">
        <v>125</v>
      </c>
      <c r="J17" s="100" t="s">
        <v>55</v>
      </c>
      <c r="K17" s="97" t="s">
        <v>303</v>
      </c>
      <c r="L17" s="98" t="s">
        <v>304</v>
      </c>
      <c r="M17" s="116" t="s">
        <v>305</v>
      </c>
      <c r="N17" s="99" t="s">
        <v>125</v>
      </c>
      <c r="O17" s="100" t="s">
        <v>55</v>
      </c>
      <c r="P17" s="97" t="s">
        <v>303</v>
      </c>
      <c r="Q17" s="98" t="s">
        <v>304</v>
      </c>
      <c r="R17" s="116" t="s">
        <v>305</v>
      </c>
      <c r="S17" s="99" t="s">
        <v>125</v>
      </c>
      <c r="T17" s="100" t="s">
        <v>55</v>
      </c>
      <c r="U17" s="97" t="s">
        <v>303</v>
      </c>
      <c r="V17" s="98" t="s">
        <v>304</v>
      </c>
      <c r="W17" s="116" t="s">
        <v>305</v>
      </c>
      <c r="X17" s="97" t="s">
        <v>303</v>
      </c>
      <c r="Y17" s="98" t="s">
        <v>304</v>
      </c>
      <c r="Z17" s="116" t="s">
        <v>305</v>
      </c>
      <c r="AA17" s="97" t="s">
        <v>303</v>
      </c>
      <c r="AB17" s="98" t="s">
        <v>304</v>
      </c>
      <c r="AC17" s="116" t="s">
        <v>305</v>
      </c>
      <c r="AD17" s="97" t="s">
        <v>303</v>
      </c>
      <c r="AE17" s="98" t="s">
        <v>304</v>
      </c>
      <c r="AF17" s="116" t="s">
        <v>305</v>
      </c>
      <c r="AG17" s="99" t="s">
        <v>125</v>
      </c>
      <c r="AH17" s="100" t="s">
        <v>55</v>
      </c>
      <c r="AI17" s="97" t="s">
        <v>303</v>
      </c>
      <c r="AJ17" s="98" t="s">
        <v>304</v>
      </c>
      <c r="AK17" s="116" t="s">
        <v>305</v>
      </c>
      <c r="AL17" s="99" t="s">
        <v>125</v>
      </c>
      <c r="AM17" s="100" t="s">
        <v>55</v>
      </c>
      <c r="AN17" s="97" t="s">
        <v>303</v>
      </c>
      <c r="AO17" s="97" t="s">
        <v>303</v>
      </c>
      <c r="AP17" s="97" t="s">
        <v>303</v>
      </c>
      <c r="AQ17" s="101" t="s">
        <v>303</v>
      </c>
    </row>
    <row r="18" spans="2:43" s="8" customFormat="1">
      <c r="B18" s="562"/>
      <c r="C18" s="563"/>
      <c r="D18" s="564"/>
      <c r="E18" s="566"/>
      <c r="F18" s="154">
        <v>1</v>
      </c>
      <c r="G18" s="155">
        <v>2</v>
      </c>
      <c r="H18" s="155">
        <v>3</v>
      </c>
      <c r="I18" s="155">
        <v>4</v>
      </c>
      <c r="J18" s="156">
        <v>5</v>
      </c>
      <c r="K18" s="154">
        <v>6</v>
      </c>
      <c r="L18" s="155">
        <v>7</v>
      </c>
      <c r="M18" s="155">
        <v>8</v>
      </c>
      <c r="N18" s="155">
        <v>9</v>
      </c>
      <c r="O18" s="156">
        <v>10</v>
      </c>
      <c r="P18" s="154">
        <v>11</v>
      </c>
      <c r="Q18" s="155">
        <v>12</v>
      </c>
      <c r="R18" s="155">
        <v>13</v>
      </c>
      <c r="S18" s="155">
        <v>14</v>
      </c>
      <c r="T18" s="156">
        <v>15</v>
      </c>
      <c r="U18" s="154">
        <v>16</v>
      </c>
      <c r="V18" s="155">
        <v>17</v>
      </c>
      <c r="W18" s="156">
        <v>18</v>
      </c>
      <c r="X18" s="154">
        <v>19</v>
      </c>
      <c r="Y18" s="155">
        <v>20</v>
      </c>
      <c r="Z18" s="156">
        <v>21</v>
      </c>
      <c r="AA18" s="154">
        <v>22</v>
      </c>
      <c r="AB18" s="155">
        <v>23</v>
      </c>
      <c r="AC18" s="156">
        <v>24</v>
      </c>
      <c r="AD18" s="157">
        <v>25</v>
      </c>
      <c r="AE18" s="158">
        <v>26</v>
      </c>
      <c r="AF18" s="158">
        <v>27</v>
      </c>
      <c r="AG18" s="158">
        <v>28</v>
      </c>
      <c r="AH18" s="159">
        <v>29</v>
      </c>
      <c r="AI18" s="155">
        <v>30</v>
      </c>
      <c r="AJ18" s="155">
        <v>31</v>
      </c>
      <c r="AK18" s="155">
        <v>32</v>
      </c>
      <c r="AL18" s="155">
        <v>33</v>
      </c>
      <c r="AM18" s="156">
        <v>34</v>
      </c>
      <c r="AN18" s="160">
        <v>35</v>
      </c>
      <c r="AO18" s="155">
        <v>36</v>
      </c>
      <c r="AP18" s="155">
        <v>37</v>
      </c>
      <c r="AQ18" s="161">
        <v>38</v>
      </c>
    </row>
    <row r="19" spans="2:43">
      <c r="B19" s="14" t="s">
        <v>1</v>
      </c>
      <c r="C19" s="21" t="s">
        <v>159</v>
      </c>
      <c r="D19" s="22"/>
      <c r="E19" s="395"/>
      <c r="F19" s="396"/>
      <c r="G19" s="397"/>
      <c r="H19" s="397"/>
      <c r="I19" s="398"/>
      <c r="J19" s="398"/>
      <c r="K19" s="396"/>
      <c r="L19" s="397"/>
      <c r="M19" s="397"/>
      <c r="N19" s="398"/>
      <c r="O19" s="398"/>
      <c r="P19" s="396"/>
      <c r="Q19" s="397"/>
      <c r="R19" s="397"/>
      <c r="S19" s="398"/>
      <c r="T19" s="398"/>
      <c r="U19" s="396"/>
      <c r="V19" s="399"/>
      <c r="W19" s="399"/>
      <c r="X19" s="396"/>
      <c r="Y19" s="399"/>
      <c r="Z19" s="399"/>
      <c r="AA19" s="396"/>
      <c r="AB19" s="399"/>
      <c r="AC19" s="399"/>
      <c r="AD19" s="396"/>
      <c r="AE19" s="397"/>
      <c r="AF19" s="397"/>
      <c r="AG19" s="398"/>
      <c r="AH19" s="400"/>
      <c r="AI19" s="397"/>
      <c r="AJ19" s="397"/>
      <c r="AK19" s="397"/>
      <c r="AL19" s="398"/>
      <c r="AM19" s="401"/>
      <c r="AN19" s="378"/>
      <c r="AO19" s="379"/>
      <c r="AP19" s="378"/>
      <c r="AQ19" s="373"/>
    </row>
    <row r="20" spans="2:43">
      <c r="B20" s="15"/>
      <c r="C20" s="16">
        <v>1.1000000000000001</v>
      </c>
      <c r="D20" s="18" t="s">
        <v>68</v>
      </c>
      <c r="E20" s="23" t="s">
        <v>18</v>
      </c>
      <c r="F20" s="68"/>
      <c r="G20" s="69"/>
      <c r="H20" s="69"/>
      <c r="I20" s="70"/>
      <c r="J20" s="70"/>
      <c r="K20" s="68"/>
      <c r="L20" s="69"/>
      <c r="M20" s="69"/>
      <c r="N20" s="70"/>
      <c r="O20" s="70"/>
      <c r="P20" s="68"/>
      <c r="Q20" s="69"/>
      <c r="R20" s="69"/>
      <c r="S20" s="70"/>
      <c r="T20" s="70"/>
      <c r="U20" s="68"/>
      <c r="V20" s="60"/>
      <c r="W20" s="60"/>
      <c r="X20" s="68"/>
      <c r="Y20" s="60"/>
      <c r="Z20" s="60"/>
      <c r="AA20" s="68"/>
      <c r="AB20" s="60"/>
      <c r="AC20" s="60"/>
      <c r="AD20" s="68"/>
      <c r="AE20" s="69"/>
      <c r="AF20" s="69"/>
      <c r="AG20" s="70"/>
      <c r="AH20" s="118"/>
      <c r="AI20" s="69"/>
      <c r="AJ20" s="69"/>
      <c r="AK20" s="69"/>
      <c r="AL20" s="70"/>
      <c r="AM20" s="109"/>
      <c r="AN20" s="57"/>
      <c r="AO20" s="56"/>
      <c r="AP20" s="57"/>
      <c r="AQ20" s="251"/>
    </row>
    <row r="21" spans="2:43">
      <c r="B21" s="15"/>
      <c r="C21" s="16">
        <v>1.2</v>
      </c>
      <c r="D21" s="18" t="s">
        <v>69</v>
      </c>
      <c r="E21" s="23" t="s">
        <v>19</v>
      </c>
      <c r="F21" s="68"/>
      <c r="G21" s="69"/>
      <c r="H21" s="69"/>
      <c r="I21" s="70"/>
      <c r="J21" s="70"/>
      <c r="K21" s="68"/>
      <c r="L21" s="69"/>
      <c r="M21" s="69"/>
      <c r="N21" s="70"/>
      <c r="O21" s="70"/>
      <c r="P21" s="68"/>
      <c r="Q21" s="69"/>
      <c r="R21" s="69"/>
      <c r="S21" s="70"/>
      <c r="T21" s="70"/>
      <c r="U21" s="68"/>
      <c r="V21" s="60"/>
      <c r="W21" s="60"/>
      <c r="X21" s="68"/>
      <c r="Y21" s="60"/>
      <c r="Z21" s="60"/>
      <c r="AA21" s="68"/>
      <c r="AB21" s="60"/>
      <c r="AC21" s="60"/>
      <c r="AD21" s="68"/>
      <c r="AE21" s="69"/>
      <c r="AF21" s="69"/>
      <c r="AG21" s="70"/>
      <c r="AH21" s="118"/>
      <c r="AI21" s="69"/>
      <c r="AJ21" s="69"/>
      <c r="AK21" s="69"/>
      <c r="AL21" s="70"/>
      <c r="AM21" s="109"/>
      <c r="AN21" s="57"/>
      <c r="AO21" s="56"/>
      <c r="AP21" s="57"/>
      <c r="AQ21" s="251"/>
    </row>
    <row r="22" spans="2:43">
      <c r="B22" s="15"/>
      <c r="C22" s="16">
        <v>1.3</v>
      </c>
      <c r="D22" s="18" t="s">
        <v>124</v>
      </c>
      <c r="E22" s="23" t="s">
        <v>20</v>
      </c>
      <c r="F22" s="68"/>
      <c r="G22" s="69"/>
      <c r="H22" s="69"/>
      <c r="I22" s="70"/>
      <c r="J22" s="70"/>
      <c r="K22" s="68"/>
      <c r="L22" s="69"/>
      <c r="M22" s="69"/>
      <c r="N22" s="70"/>
      <c r="O22" s="70"/>
      <c r="P22" s="68"/>
      <c r="Q22" s="69"/>
      <c r="R22" s="69"/>
      <c r="S22" s="70"/>
      <c r="T22" s="70"/>
      <c r="U22" s="68"/>
      <c r="V22" s="60"/>
      <c r="W22" s="60"/>
      <c r="X22" s="68"/>
      <c r="Y22" s="60"/>
      <c r="Z22" s="60"/>
      <c r="AA22" s="68"/>
      <c r="AB22" s="60"/>
      <c r="AC22" s="60"/>
      <c r="AD22" s="68"/>
      <c r="AE22" s="69"/>
      <c r="AF22" s="69"/>
      <c r="AG22" s="70"/>
      <c r="AH22" s="118"/>
      <c r="AI22" s="69"/>
      <c r="AJ22" s="69"/>
      <c r="AK22" s="69"/>
      <c r="AL22" s="70"/>
      <c r="AM22" s="109"/>
      <c r="AN22" s="57"/>
      <c r="AO22" s="56"/>
      <c r="AP22" s="57"/>
      <c r="AQ22" s="251"/>
    </row>
    <row r="23" spans="2:43">
      <c r="B23" s="15"/>
      <c r="C23" s="16">
        <v>1.4</v>
      </c>
      <c r="D23" s="18" t="s">
        <v>100</v>
      </c>
      <c r="E23" s="380"/>
      <c r="F23" s="386"/>
      <c r="G23" s="389"/>
      <c r="H23" s="389"/>
      <c r="I23" s="387"/>
      <c r="J23" s="387"/>
      <c r="K23" s="386"/>
      <c r="L23" s="389"/>
      <c r="M23" s="389"/>
      <c r="N23" s="387"/>
      <c r="O23" s="387"/>
      <c r="P23" s="386"/>
      <c r="Q23" s="389"/>
      <c r="R23" s="389"/>
      <c r="S23" s="387"/>
      <c r="T23" s="387"/>
      <c r="U23" s="386"/>
      <c r="V23" s="394"/>
      <c r="W23" s="394"/>
      <c r="X23" s="386"/>
      <c r="Y23" s="394"/>
      <c r="Z23" s="394"/>
      <c r="AA23" s="386"/>
      <c r="AB23" s="394"/>
      <c r="AC23" s="394"/>
      <c r="AD23" s="386"/>
      <c r="AE23" s="389"/>
      <c r="AF23" s="389"/>
      <c r="AG23" s="387"/>
      <c r="AH23" s="388"/>
      <c r="AI23" s="389"/>
      <c r="AJ23" s="389"/>
      <c r="AK23" s="389"/>
      <c r="AL23" s="387"/>
      <c r="AM23" s="390"/>
      <c r="AN23" s="391"/>
      <c r="AO23" s="392"/>
      <c r="AP23" s="391"/>
      <c r="AQ23" s="393"/>
    </row>
    <row r="24" spans="2:43" ht="24.9">
      <c r="B24" s="15"/>
      <c r="C24" s="16"/>
      <c r="D24" s="17" t="s">
        <v>203</v>
      </c>
      <c r="E24" s="23" t="s">
        <v>85</v>
      </c>
      <c r="F24" s="68"/>
      <c r="G24" s="95"/>
      <c r="H24" s="95"/>
      <c r="I24" s="238"/>
      <c r="J24" s="238"/>
      <c r="K24" s="68"/>
      <c r="L24" s="95"/>
      <c r="M24" s="95"/>
      <c r="N24" s="238"/>
      <c r="O24" s="238"/>
      <c r="P24" s="68"/>
      <c r="Q24" s="95"/>
      <c r="R24" s="95"/>
      <c r="S24" s="238"/>
      <c r="T24" s="238"/>
      <c r="U24" s="68"/>
      <c r="V24" s="110"/>
      <c r="W24" s="110"/>
      <c r="X24" s="68"/>
      <c r="Y24" s="110"/>
      <c r="Z24" s="110"/>
      <c r="AA24" s="68"/>
      <c r="AB24" s="110"/>
      <c r="AC24" s="110"/>
      <c r="AD24" s="68"/>
      <c r="AE24" s="95"/>
      <c r="AF24" s="95"/>
      <c r="AG24" s="238"/>
      <c r="AH24" s="239"/>
      <c r="AI24" s="69"/>
      <c r="AJ24" s="95"/>
      <c r="AK24" s="95"/>
      <c r="AL24" s="238"/>
      <c r="AM24" s="240"/>
      <c r="AN24" s="72"/>
      <c r="AO24" s="111"/>
      <c r="AP24" s="72"/>
      <c r="AQ24" s="251"/>
    </row>
    <row r="25" spans="2:43" ht="24.9">
      <c r="B25" s="15"/>
      <c r="C25" s="16"/>
      <c r="D25" s="17" t="s">
        <v>143</v>
      </c>
      <c r="E25" s="23"/>
      <c r="F25" s="252"/>
      <c r="G25" s="69"/>
      <c r="H25" s="69"/>
      <c r="I25" s="70"/>
      <c r="J25" s="70"/>
      <c r="K25" s="252"/>
      <c r="L25" s="69"/>
      <c r="M25" s="69"/>
      <c r="N25" s="70"/>
      <c r="O25" s="70"/>
      <c r="P25" s="252"/>
      <c r="Q25" s="69"/>
      <c r="R25" s="69"/>
      <c r="S25" s="70"/>
      <c r="T25" s="70"/>
      <c r="U25" s="252"/>
      <c r="V25" s="71"/>
      <c r="W25" s="71"/>
      <c r="X25" s="252"/>
      <c r="Y25" s="71"/>
      <c r="Z25" s="71"/>
      <c r="AA25" s="252"/>
      <c r="AB25" s="71"/>
      <c r="AC25" s="71"/>
      <c r="AD25" s="252"/>
      <c r="AE25" s="69"/>
      <c r="AF25" s="69"/>
      <c r="AG25" s="70"/>
      <c r="AH25" s="118"/>
      <c r="AI25" s="95"/>
      <c r="AJ25" s="69"/>
      <c r="AK25" s="69"/>
      <c r="AL25" s="70"/>
      <c r="AM25" s="109"/>
      <c r="AN25" s="253"/>
      <c r="AO25" s="254"/>
      <c r="AP25" s="253"/>
      <c r="AQ25" s="251"/>
    </row>
    <row r="26" spans="2:43">
      <c r="B26" s="15"/>
      <c r="C26" s="16">
        <v>1.5</v>
      </c>
      <c r="D26" s="18" t="s">
        <v>131</v>
      </c>
      <c r="E26" s="23" t="s">
        <v>98</v>
      </c>
      <c r="F26" s="68"/>
      <c r="G26" s="70"/>
      <c r="H26" s="70"/>
      <c r="I26" s="70"/>
      <c r="J26" s="70"/>
      <c r="K26" s="68"/>
      <c r="L26" s="70"/>
      <c r="M26" s="70"/>
      <c r="N26" s="70"/>
      <c r="O26" s="70"/>
      <c r="P26" s="68"/>
      <c r="Q26" s="70"/>
      <c r="R26" s="70"/>
      <c r="S26" s="70"/>
      <c r="T26" s="70"/>
      <c r="U26" s="68"/>
      <c r="V26" s="71"/>
      <c r="W26" s="71"/>
      <c r="X26" s="68"/>
      <c r="Y26" s="71"/>
      <c r="Z26" s="71"/>
      <c r="AA26" s="68"/>
      <c r="AB26" s="71"/>
      <c r="AC26" s="71"/>
      <c r="AD26" s="68"/>
      <c r="AE26" s="70"/>
      <c r="AF26" s="70"/>
      <c r="AG26" s="70"/>
      <c r="AH26" s="118"/>
      <c r="AI26" s="69"/>
      <c r="AJ26" s="70"/>
      <c r="AK26" s="70"/>
      <c r="AL26" s="70"/>
      <c r="AM26" s="109"/>
      <c r="AN26" s="57"/>
      <c r="AO26" s="56"/>
      <c r="AP26" s="57"/>
      <c r="AQ26" s="251"/>
    </row>
    <row r="27" spans="2:43">
      <c r="B27" s="15"/>
      <c r="C27" s="16">
        <v>1.6</v>
      </c>
      <c r="D27" s="18" t="s">
        <v>99</v>
      </c>
      <c r="E27" s="23" t="s">
        <v>86</v>
      </c>
      <c r="F27" s="68"/>
      <c r="G27" s="95"/>
      <c r="H27" s="95"/>
      <c r="I27" s="238"/>
      <c r="J27" s="238"/>
      <c r="K27" s="68"/>
      <c r="L27" s="95"/>
      <c r="M27" s="95"/>
      <c r="N27" s="238"/>
      <c r="O27" s="238"/>
      <c r="P27" s="68"/>
      <c r="Q27" s="95"/>
      <c r="R27" s="95"/>
      <c r="S27" s="238"/>
      <c r="T27" s="238"/>
      <c r="U27" s="68"/>
      <c r="V27" s="110"/>
      <c r="W27" s="110"/>
      <c r="X27" s="68"/>
      <c r="Y27" s="110"/>
      <c r="Z27" s="110"/>
      <c r="AA27" s="68"/>
      <c r="AB27" s="110"/>
      <c r="AC27" s="110"/>
      <c r="AD27" s="68"/>
      <c r="AE27" s="95"/>
      <c r="AF27" s="95"/>
      <c r="AG27" s="238"/>
      <c r="AH27" s="239"/>
      <c r="AI27" s="69"/>
      <c r="AJ27" s="95"/>
      <c r="AK27" s="95"/>
      <c r="AL27" s="238"/>
      <c r="AM27" s="240"/>
      <c r="AN27" s="57"/>
      <c r="AO27" s="56"/>
      <c r="AP27" s="57"/>
      <c r="AQ27" s="251"/>
    </row>
    <row r="28" spans="2:43">
      <c r="B28" s="15"/>
      <c r="C28" s="16">
        <v>1.7</v>
      </c>
      <c r="D28" s="18" t="s">
        <v>70</v>
      </c>
      <c r="E28" s="23" t="s">
        <v>21</v>
      </c>
      <c r="F28" s="68"/>
      <c r="G28" s="69"/>
      <c r="H28" s="69"/>
      <c r="I28" s="70"/>
      <c r="J28" s="70"/>
      <c r="K28" s="68"/>
      <c r="L28" s="69"/>
      <c r="M28" s="69"/>
      <c r="N28" s="70"/>
      <c r="O28" s="70"/>
      <c r="P28" s="68"/>
      <c r="Q28" s="69"/>
      <c r="R28" s="69"/>
      <c r="S28" s="70"/>
      <c r="T28" s="70"/>
      <c r="U28" s="68"/>
      <c r="V28" s="60"/>
      <c r="W28" s="60"/>
      <c r="X28" s="68"/>
      <c r="Y28" s="60"/>
      <c r="Z28" s="60"/>
      <c r="AA28" s="68"/>
      <c r="AB28" s="60"/>
      <c r="AC28" s="60"/>
      <c r="AD28" s="68"/>
      <c r="AE28" s="69"/>
      <c r="AF28" s="69"/>
      <c r="AG28" s="70"/>
      <c r="AH28" s="118"/>
      <c r="AI28" s="69"/>
      <c r="AJ28" s="69"/>
      <c r="AK28" s="69"/>
      <c r="AL28" s="70"/>
      <c r="AM28" s="109"/>
      <c r="AN28" s="57"/>
      <c r="AO28" s="56"/>
      <c r="AP28" s="57"/>
      <c r="AQ28" s="251"/>
    </row>
    <row r="29" spans="2:43">
      <c r="B29" s="15"/>
      <c r="C29" s="40">
        <v>1.8</v>
      </c>
      <c r="D29" s="18" t="s">
        <v>71</v>
      </c>
      <c r="E29" s="23" t="s">
        <v>22</v>
      </c>
      <c r="F29" s="68"/>
      <c r="G29" s="69"/>
      <c r="H29" s="69"/>
      <c r="I29" s="70"/>
      <c r="J29" s="70"/>
      <c r="K29" s="68"/>
      <c r="L29" s="69"/>
      <c r="M29" s="69"/>
      <c r="N29" s="70"/>
      <c r="O29" s="70"/>
      <c r="P29" s="68"/>
      <c r="Q29" s="69"/>
      <c r="R29" s="69"/>
      <c r="S29" s="70"/>
      <c r="T29" s="70"/>
      <c r="U29" s="68"/>
      <c r="V29" s="60"/>
      <c r="W29" s="60"/>
      <c r="X29" s="68"/>
      <c r="Y29" s="60"/>
      <c r="Z29" s="60"/>
      <c r="AA29" s="68"/>
      <c r="AB29" s="60"/>
      <c r="AC29" s="60"/>
      <c r="AD29" s="68"/>
      <c r="AE29" s="69"/>
      <c r="AF29" s="69"/>
      <c r="AG29" s="70"/>
      <c r="AH29" s="118"/>
      <c r="AI29" s="69"/>
      <c r="AJ29" s="69"/>
      <c r="AK29" s="69"/>
      <c r="AL29" s="70"/>
      <c r="AM29" s="109"/>
      <c r="AN29" s="57"/>
      <c r="AO29" s="56"/>
      <c r="AP29" s="57"/>
      <c r="AQ29" s="251"/>
    </row>
    <row r="30" spans="2:43" ht="24.9">
      <c r="B30" s="15"/>
      <c r="C30" s="16">
        <v>1.9</v>
      </c>
      <c r="D30" s="17" t="s">
        <v>211</v>
      </c>
      <c r="E30" s="23"/>
      <c r="F30" s="68"/>
      <c r="G30" s="69"/>
      <c r="H30" s="69"/>
      <c r="I30" s="70"/>
      <c r="J30" s="70"/>
      <c r="K30" s="68"/>
      <c r="L30" s="69"/>
      <c r="M30" s="69"/>
      <c r="N30" s="70"/>
      <c r="O30" s="70"/>
      <c r="P30" s="68"/>
      <c r="Q30" s="69"/>
      <c r="R30" s="69"/>
      <c r="S30" s="70"/>
      <c r="T30" s="70"/>
      <c r="U30" s="68"/>
      <c r="V30" s="60"/>
      <c r="W30" s="60"/>
      <c r="X30" s="68"/>
      <c r="Y30" s="60"/>
      <c r="Z30" s="60"/>
      <c r="AA30" s="68"/>
      <c r="AB30" s="60"/>
      <c r="AC30" s="60"/>
      <c r="AD30" s="68"/>
      <c r="AE30" s="69"/>
      <c r="AF30" s="69"/>
      <c r="AG30" s="70"/>
      <c r="AH30" s="118"/>
      <c r="AI30" s="69"/>
      <c r="AJ30" s="69"/>
      <c r="AK30" s="69"/>
      <c r="AL30" s="70"/>
      <c r="AM30" s="109"/>
      <c r="AN30" s="72"/>
      <c r="AO30" s="111"/>
      <c r="AP30" s="72"/>
      <c r="AQ30" s="251"/>
    </row>
    <row r="31" spans="2:43" ht="27" customHeight="1">
      <c r="B31" s="15"/>
      <c r="C31" s="78">
        <v>1.1000000000000001</v>
      </c>
      <c r="D31" s="17" t="s">
        <v>192</v>
      </c>
      <c r="E31" s="23"/>
      <c r="F31" s="68"/>
      <c r="G31" s="69"/>
      <c r="H31" s="69"/>
      <c r="I31" s="70"/>
      <c r="J31" s="70"/>
      <c r="K31" s="68"/>
      <c r="L31" s="69"/>
      <c r="M31" s="69"/>
      <c r="N31" s="70"/>
      <c r="O31" s="70"/>
      <c r="P31" s="68"/>
      <c r="Q31" s="69"/>
      <c r="R31" s="69"/>
      <c r="S31" s="70"/>
      <c r="T31" s="70"/>
      <c r="U31" s="68"/>
      <c r="V31" s="60"/>
      <c r="W31" s="60"/>
      <c r="X31" s="68"/>
      <c r="Y31" s="60"/>
      <c r="Z31" s="60"/>
      <c r="AA31" s="68"/>
      <c r="AB31" s="60"/>
      <c r="AC31" s="60"/>
      <c r="AD31" s="68"/>
      <c r="AE31" s="69"/>
      <c r="AF31" s="69"/>
      <c r="AG31" s="70"/>
      <c r="AH31" s="118"/>
      <c r="AI31" s="69"/>
      <c r="AJ31" s="69"/>
      <c r="AK31" s="69"/>
      <c r="AL31" s="70"/>
      <c r="AM31" s="109"/>
      <c r="AN31" s="72"/>
      <c r="AO31" s="111"/>
      <c r="AP31" s="72"/>
      <c r="AQ31" s="251"/>
    </row>
    <row r="32" spans="2:43">
      <c r="B32" s="307"/>
      <c r="C32" s="363"/>
      <c r="D32" s="364"/>
      <c r="E32" s="338"/>
      <c r="F32" s="365"/>
      <c r="G32" s="366"/>
      <c r="H32" s="366"/>
      <c r="I32" s="367"/>
      <c r="J32" s="367"/>
      <c r="K32" s="365"/>
      <c r="L32" s="366"/>
      <c r="M32" s="366"/>
      <c r="N32" s="367"/>
      <c r="O32" s="367"/>
      <c r="P32" s="365"/>
      <c r="Q32" s="366"/>
      <c r="R32" s="366"/>
      <c r="S32" s="367"/>
      <c r="T32" s="367"/>
      <c r="U32" s="365"/>
      <c r="V32" s="368"/>
      <c r="W32" s="368"/>
      <c r="X32" s="365"/>
      <c r="Y32" s="368"/>
      <c r="Z32" s="368"/>
      <c r="AA32" s="365"/>
      <c r="AB32" s="368"/>
      <c r="AC32" s="368"/>
      <c r="AD32" s="365"/>
      <c r="AE32" s="366"/>
      <c r="AF32" s="366"/>
      <c r="AG32" s="367"/>
      <c r="AH32" s="369"/>
      <c r="AI32" s="366"/>
      <c r="AJ32" s="366"/>
      <c r="AK32" s="366"/>
      <c r="AL32" s="367"/>
      <c r="AM32" s="370"/>
      <c r="AN32" s="371"/>
      <c r="AO32" s="372"/>
      <c r="AP32" s="371"/>
      <c r="AQ32" s="373"/>
    </row>
    <row r="33" spans="2:43">
      <c r="B33" s="15" t="s">
        <v>2</v>
      </c>
      <c r="C33" s="19" t="s">
        <v>160</v>
      </c>
      <c r="D33" s="20"/>
      <c r="E33" s="346"/>
      <c r="F33" s="374"/>
      <c r="G33" s="375"/>
      <c r="H33" s="375"/>
      <c r="I33" s="375"/>
      <c r="J33" s="375"/>
      <c r="K33" s="374"/>
      <c r="L33" s="375"/>
      <c r="M33" s="375"/>
      <c r="N33" s="375"/>
      <c r="O33" s="375"/>
      <c r="P33" s="374"/>
      <c r="Q33" s="375"/>
      <c r="R33" s="375"/>
      <c r="S33" s="375"/>
      <c r="T33" s="375"/>
      <c r="U33" s="374"/>
      <c r="V33" s="375"/>
      <c r="W33" s="375"/>
      <c r="X33" s="374"/>
      <c r="Y33" s="375"/>
      <c r="Z33" s="375"/>
      <c r="AA33" s="374"/>
      <c r="AB33" s="375"/>
      <c r="AC33" s="375"/>
      <c r="AD33" s="374"/>
      <c r="AE33" s="375"/>
      <c r="AF33" s="375"/>
      <c r="AG33" s="375"/>
      <c r="AH33" s="376"/>
      <c r="AI33" s="375"/>
      <c r="AJ33" s="375"/>
      <c r="AK33" s="375"/>
      <c r="AL33" s="375"/>
      <c r="AM33" s="377"/>
      <c r="AN33" s="378"/>
      <c r="AO33" s="379"/>
      <c r="AP33" s="378"/>
      <c r="AQ33" s="373"/>
    </row>
    <row r="34" spans="2:43">
      <c r="B34" s="15"/>
      <c r="C34" s="16">
        <v>2.1</v>
      </c>
      <c r="D34" s="18" t="s">
        <v>137</v>
      </c>
      <c r="E34" s="16"/>
      <c r="F34" s="374"/>
      <c r="G34" s="375"/>
      <c r="H34" s="375"/>
      <c r="I34" s="375"/>
      <c r="J34" s="375"/>
      <c r="K34" s="374"/>
      <c r="L34" s="375"/>
      <c r="M34" s="375"/>
      <c r="N34" s="375"/>
      <c r="O34" s="375"/>
      <c r="P34" s="374"/>
      <c r="Q34" s="375"/>
      <c r="R34" s="375"/>
      <c r="S34" s="375"/>
      <c r="T34" s="375"/>
      <c r="U34" s="374"/>
      <c r="V34" s="375"/>
      <c r="W34" s="375"/>
      <c r="X34" s="374"/>
      <c r="Y34" s="375"/>
      <c r="Z34" s="375"/>
      <c r="AA34" s="374"/>
      <c r="AB34" s="375"/>
      <c r="AC34" s="375"/>
      <c r="AD34" s="374"/>
      <c r="AE34" s="375"/>
      <c r="AF34" s="375"/>
      <c r="AG34" s="375"/>
      <c r="AH34" s="376"/>
      <c r="AI34" s="375"/>
      <c r="AJ34" s="375"/>
      <c r="AK34" s="375"/>
      <c r="AL34" s="375"/>
      <c r="AM34" s="377"/>
      <c r="AN34" s="381"/>
      <c r="AO34" s="382"/>
      <c r="AP34" s="381"/>
      <c r="AQ34" s="373"/>
    </row>
    <row r="35" spans="2:43">
      <c r="B35" s="15"/>
      <c r="C35" s="16"/>
      <c r="D35" s="18" t="s">
        <v>206</v>
      </c>
      <c r="E35" s="16" t="s">
        <v>96</v>
      </c>
      <c r="F35" s="68"/>
      <c r="G35" s="95"/>
      <c r="H35" s="95"/>
      <c r="I35" s="95"/>
      <c r="J35" s="95"/>
      <c r="K35" s="68"/>
      <c r="L35" s="95"/>
      <c r="M35" s="95"/>
      <c r="N35" s="95"/>
      <c r="O35" s="95"/>
      <c r="P35" s="68"/>
      <c r="Q35" s="95"/>
      <c r="R35" s="95"/>
      <c r="S35" s="95"/>
      <c r="T35" s="95"/>
      <c r="U35" s="68"/>
      <c r="V35" s="95"/>
      <c r="W35" s="95"/>
      <c r="X35" s="68"/>
      <c r="Y35" s="95"/>
      <c r="Z35" s="95"/>
      <c r="AA35" s="68"/>
      <c r="AB35" s="95"/>
      <c r="AC35" s="95"/>
      <c r="AD35" s="68"/>
      <c r="AE35" s="95"/>
      <c r="AF35" s="95"/>
      <c r="AG35" s="95"/>
      <c r="AH35" s="120"/>
      <c r="AI35" s="69"/>
      <c r="AJ35" s="95"/>
      <c r="AK35" s="95"/>
      <c r="AL35" s="95"/>
      <c r="AM35" s="110"/>
      <c r="AN35" s="57"/>
      <c r="AO35" s="56"/>
      <c r="AP35" s="57"/>
      <c r="AQ35" s="251"/>
    </row>
    <row r="36" spans="2:43" ht="28.5" customHeight="1">
      <c r="B36" s="15"/>
      <c r="C36" s="16"/>
      <c r="D36" s="17" t="s">
        <v>193</v>
      </c>
      <c r="E36" s="94"/>
      <c r="F36" s="252"/>
      <c r="G36" s="69"/>
      <c r="H36" s="69"/>
      <c r="I36" s="69"/>
      <c r="J36" s="69"/>
      <c r="K36" s="95"/>
      <c r="L36" s="69"/>
      <c r="M36" s="69"/>
      <c r="N36" s="69"/>
      <c r="O36" s="69"/>
      <c r="P36" s="95"/>
      <c r="Q36" s="69"/>
      <c r="R36" s="69"/>
      <c r="S36" s="69"/>
      <c r="T36" s="71"/>
      <c r="U36" s="252"/>
      <c r="V36" s="71"/>
      <c r="W36" s="71"/>
      <c r="X36" s="252"/>
      <c r="Y36" s="71"/>
      <c r="Z36" s="71"/>
      <c r="AA36" s="252"/>
      <c r="AB36" s="71"/>
      <c r="AC36" s="71"/>
      <c r="AD36" s="252"/>
      <c r="AE36" s="69"/>
      <c r="AF36" s="69"/>
      <c r="AG36" s="69"/>
      <c r="AH36" s="119"/>
      <c r="AI36" s="95"/>
      <c r="AJ36" s="69"/>
      <c r="AK36" s="69"/>
      <c r="AL36" s="69"/>
      <c r="AM36" s="71"/>
      <c r="AN36" s="255"/>
      <c r="AO36" s="256"/>
      <c r="AP36" s="255"/>
      <c r="AQ36" s="251"/>
    </row>
    <row r="37" spans="2:43" s="8" customFormat="1">
      <c r="B37" s="39"/>
      <c r="C37" s="16">
        <v>2.2000000000000002</v>
      </c>
      <c r="D37" s="18" t="s">
        <v>126</v>
      </c>
      <c r="E37" s="346"/>
      <c r="F37" s="374"/>
      <c r="G37" s="375"/>
      <c r="H37" s="375"/>
      <c r="I37" s="375"/>
      <c r="J37" s="375"/>
      <c r="K37" s="374"/>
      <c r="L37" s="375"/>
      <c r="M37" s="375"/>
      <c r="N37" s="375"/>
      <c r="O37" s="375"/>
      <c r="P37" s="374"/>
      <c r="Q37" s="375"/>
      <c r="R37" s="375"/>
      <c r="S37" s="375"/>
      <c r="T37" s="375"/>
      <c r="U37" s="374"/>
      <c r="V37" s="375"/>
      <c r="W37" s="375"/>
      <c r="X37" s="374"/>
      <c r="Y37" s="375"/>
      <c r="Z37" s="375"/>
      <c r="AA37" s="374"/>
      <c r="AB37" s="375"/>
      <c r="AC37" s="375"/>
      <c r="AD37" s="374"/>
      <c r="AE37" s="375"/>
      <c r="AF37" s="375"/>
      <c r="AG37" s="375"/>
      <c r="AH37" s="376"/>
      <c r="AI37" s="375"/>
      <c r="AJ37" s="375"/>
      <c r="AK37" s="375"/>
      <c r="AL37" s="375"/>
      <c r="AM37" s="377"/>
      <c r="AN37" s="378"/>
      <c r="AO37" s="379"/>
      <c r="AP37" s="378"/>
      <c r="AQ37" s="373"/>
    </row>
    <row r="38" spans="2:43" s="8" customFormat="1" ht="24.9">
      <c r="B38" s="39"/>
      <c r="C38" s="16"/>
      <c r="D38" s="17" t="s">
        <v>185</v>
      </c>
      <c r="E38" s="16" t="s">
        <v>10</v>
      </c>
      <c r="F38" s="68"/>
      <c r="G38" s="95"/>
      <c r="H38" s="95"/>
      <c r="I38" s="238"/>
      <c r="J38" s="238"/>
      <c r="K38" s="68"/>
      <c r="L38" s="95"/>
      <c r="M38" s="95"/>
      <c r="N38" s="238"/>
      <c r="O38" s="238"/>
      <c r="P38" s="68"/>
      <c r="Q38" s="95"/>
      <c r="R38" s="95"/>
      <c r="S38" s="238"/>
      <c r="T38" s="238"/>
      <c r="U38" s="68"/>
      <c r="V38" s="110"/>
      <c r="W38" s="110"/>
      <c r="X38" s="68"/>
      <c r="Y38" s="110"/>
      <c r="Z38" s="110"/>
      <c r="AA38" s="68"/>
      <c r="AB38" s="110"/>
      <c r="AC38" s="110"/>
      <c r="AD38" s="68"/>
      <c r="AE38" s="95"/>
      <c r="AF38" s="95"/>
      <c r="AG38" s="238"/>
      <c r="AH38" s="239"/>
      <c r="AI38" s="69"/>
      <c r="AJ38" s="95"/>
      <c r="AK38" s="95"/>
      <c r="AL38" s="238"/>
      <c r="AM38" s="240"/>
      <c r="AN38" s="57"/>
      <c r="AO38" s="56"/>
      <c r="AP38" s="57"/>
      <c r="AQ38" s="251"/>
    </row>
    <row r="39" spans="2:43" s="8" customFormat="1" ht="24.9">
      <c r="B39" s="39"/>
      <c r="C39" s="16"/>
      <c r="D39" s="17" t="s">
        <v>145</v>
      </c>
      <c r="E39" s="16"/>
      <c r="F39" s="252"/>
      <c r="G39" s="69"/>
      <c r="H39" s="69"/>
      <c r="I39" s="69"/>
      <c r="J39" s="69"/>
      <c r="K39" s="95"/>
      <c r="L39" s="69"/>
      <c r="M39" s="69"/>
      <c r="N39" s="69"/>
      <c r="O39" s="69"/>
      <c r="P39" s="95"/>
      <c r="Q39" s="69"/>
      <c r="R39" s="69"/>
      <c r="S39" s="69"/>
      <c r="T39" s="71"/>
      <c r="U39" s="252"/>
      <c r="V39" s="71"/>
      <c r="W39" s="71"/>
      <c r="X39" s="252"/>
      <c r="Y39" s="71"/>
      <c r="Z39" s="71"/>
      <c r="AA39" s="252"/>
      <c r="AB39" s="71"/>
      <c r="AC39" s="71"/>
      <c r="AD39" s="252"/>
      <c r="AE39" s="69"/>
      <c r="AF39" s="69"/>
      <c r="AG39" s="69"/>
      <c r="AH39" s="119"/>
      <c r="AI39" s="95"/>
      <c r="AJ39" s="69"/>
      <c r="AK39" s="69"/>
      <c r="AL39" s="69"/>
      <c r="AM39" s="71"/>
      <c r="AN39" s="255"/>
      <c r="AO39" s="256"/>
      <c r="AP39" s="255"/>
      <c r="AQ39" s="251"/>
    </row>
    <row r="40" spans="2:43">
      <c r="B40" s="15"/>
      <c r="C40" s="16">
        <v>2.2999999999999998</v>
      </c>
      <c r="D40" s="18" t="s">
        <v>91</v>
      </c>
      <c r="E40" s="16" t="s">
        <v>94</v>
      </c>
      <c r="F40" s="68"/>
      <c r="G40" s="95"/>
      <c r="H40" s="95"/>
      <c r="I40" s="95"/>
      <c r="J40" s="95"/>
      <c r="K40" s="68"/>
      <c r="L40" s="95"/>
      <c r="M40" s="95"/>
      <c r="N40" s="95"/>
      <c r="O40" s="95"/>
      <c r="P40" s="68"/>
      <c r="Q40" s="95"/>
      <c r="R40" s="95"/>
      <c r="S40" s="95"/>
      <c r="T40" s="95"/>
      <c r="U40" s="68"/>
      <c r="V40" s="95"/>
      <c r="W40" s="95"/>
      <c r="X40" s="68"/>
      <c r="Y40" s="95"/>
      <c r="Z40" s="95"/>
      <c r="AA40" s="68"/>
      <c r="AB40" s="95"/>
      <c r="AC40" s="95"/>
      <c r="AD40" s="68"/>
      <c r="AE40" s="95"/>
      <c r="AF40" s="95"/>
      <c r="AG40" s="95"/>
      <c r="AH40" s="120"/>
      <c r="AI40" s="69"/>
      <c r="AJ40" s="95"/>
      <c r="AK40" s="95"/>
      <c r="AL40" s="95"/>
      <c r="AM40" s="110"/>
      <c r="AN40" s="57"/>
      <c r="AO40" s="56"/>
      <c r="AP40" s="57"/>
      <c r="AQ40" s="251"/>
    </row>
    <row r="41" spans="2:43" s="8" customFormat="1">
      <c r="B41" s="39"/>
      <c r="C41" s="16">
        <v>2.4</v>
      </c>
      <c r="D41" s="18" t="s">
        <v>127</v>
      </c>
      <c r="E41" s="380"/>
      <c r="F41" s="374"/>
      <c r="G41" s="375"/>
      <c r="H41" s="375"/>
      <c r="I41" s="375"/>
      <c r="J41" s="375"/>
      <c r="K41" s="374"/>
      <c r="L41" s="375"/>
      <c r="M41" s="375"/>
      <c r="N41" s="375"/>
      <c r="O41" s="375"/>
      <c r="P41" s="374"/>
      <c r="Q41" s="375"/>
      <c r="R41" s="375"/>
      <c r="S41" s="375"/>
      <c r="T41" s="375"/>
      <c r="U41" s="374"/>
      <c r="V41" s="375"/>
      <c r="W41" s="375"/>
      <c r="X41" s="374"/>
      <c r="Y41" s="375"/>
      <c r="Z41" s="375"/>
      <c r="AA41" s="374"/>
      <c r="AB41" s="375"/>
      <c r="AC41" s="375"/>
      <c r="AD41" s="374"/>
      <c r="AE41" s="375"/>
      <c r="AF41" s="375"/>
      <c r="AG41" s="375"/>
      <c r="AH41" s="376"/>
      <c r="AI41" s="375"/>
      <c r="AJ41" s="375"/>
      <c r="AK41" s="375"/>
      <c r="AL41" s="375"/>
      <c r="AM41" s="377"/>
      <c r="AN41" s="381"/>
      <c r="AO41" s="382"/>
      <c r="AP41" s="381"/>
      <c r="AQ41" s="373"/>
    </row>
    <row r="42" spans="2:43" s="8" customFormat="1" ht="24.9">
      <c r="B42" s="39"/>
      <c r="C42" s="16"/>
      <c r="D42" s="17" t="s">
        <v>186</v>
      </c>
      <c r="E42" s="16" t="s">
        <v>11</v>
      </c>
      <c r="F42" s="68"/>
      <c r="G42" s="95"/>
      <c r="H42" s="95"/>
      <c r="I42" s="238"/>
      <c r="J42" s="238"/>
      <c r="K42" s="68"/>
      <c r="L42" s="95"/>
      <c r="M42" s="95"/>
      <c r="N42" s="238"/>
      <c r="O42" s="238"/>
      <c r="P42" s="68"/>
      <c r="Q42" s="95"/>
      <c r="R42" s="95"/>
      <c r="S42" s="238"/>
      <c r="T42" s="238"/>
      <c r="U42" s="68"/>
      <c r="V42" s="110"/>
      <c r="W42" s="110"/>
      <c r="X42" s="68"/>
      <c r="Y42" s="110"/>
      <c r="Z42" s="110"/>
      <c r="AA42" s="68"/>
      <c r="AB42" s="110"/>
      <c r="AC42" s="110"/>
      <c r="AD42" s="68"/>
      <c r="AE42" s="95"/>
      <c r="AF42" s="95"/>
      <c r="AG42" s="238"/>
      <c r="AH42" s="239"/>
      <c r="AI42" s="69"/>
      <c r="AJ42" s="95"/>
      <c r="AK42" s="95"/>
      <c r="AL42" s="238"/>
      <c r="AM42" s="240"/>
      <c r="AN42" s="57"/>
      <c r="AO42" s="56"/>
      <c r="AP42" s="57"/>
      <c r="AQ42" s="251"/>
    </row>
    <row r="43" spans="2:43" s="8" customFormat="1" ht="24.9">
      <c r="B43" s="39"/>
      <c r="C43" s="16"/>
      <c r="D43" s="17" t="s">
        <v>144</v>
      </c>
      <c r="E43" s="16"/>
      <c r="F43" s="252"/>
      <c r="G43" s="69"/>
      <c r="H43" s="69"/>
      <c r="I43" s="69"/>
      <c r="J43" s="69"/>
      <c r="K43" s="95"/>
      <c r="L43" s="69"/>
      <c r="M43" s="69"/>
      <c r="N43" s="69"/>
      <c r="O43" s="69"/>
      <c r="P43" s="95"/>
      <c r="Q43" s="69"/>
      <c r="R43" s="69"/>
      <c r="S43" s="69"/>
      <c r="T43" s="71"/>
      <c r="U43" s="252"/>
      <c r="V43" s="71"/>
      <c r="W43" s="71"/>
      <c r="X43" s="252"/>
      <c r="Y43" s="71"/>
      <c r="Z43" s="71"/>
      <c r="AA43" s="252"/>
      <c r="AB43" s="71"/>
      <c r="AC43" s="71"/>
      <c r="AD43" s="252"/>
      <c r="AE43" s="69"/>
      <c r="AF43" s="69"/>
      <c r="AG43" s="69"/>
      <c r="AH43" s="119"/>
      <c r="AI43" s="95"/>
      <c r="AJ43" s="69"/>
      <c r="AK43" s="69"/>
      <c r="AL43" s="69"/>
      <c r="AM43" s="71"/>
      <c r="AN43" s="255"/>
      <c r="AO43" s="256"/>
      <c r="AP43" s="255"/>
      <c r="AQ43" s="251"/>
    </row>
    <row r="44" spans="2:43">
      <c r="B44" s="15"/>
      <c r="C44" s="16">
        <v>2.5</v>
      </c>
      <c r="D44" s="18" t="s">
        <v>92</v>
      </c>
      <c r="E44" s="16" t="s">
        <v>95</v>
      </c>
      <c r="F44" s="68"/>
      <c r="G44" s="95"/>
      <c r="H44" s="95"/>
      <c r="I44" s="95"/>
      <c r="J44" s="95"/>
      <c r="K44" s="68"/>
      <c r="L44" s="95"/>
      <c r="M44" s="95"/>
      <c r="N44" s="95"/>
      <c r="O44" s="95"/>
      <c r="P44" s="68"/>
      <c r="Q44" s="95"/>
      <c r="R44" s="95"/>
      <c r="S44" s="95"/>
      <c r="T44" s="95"/>
      <c r="U44" s="68"/>
      <c r="V44" s="95"/>
      <c r="W44" s="95"/>
      <c r="X44" s="68"/>
      <c r="Y44" s="95"/>
      <c r="Z44" s="95"/>
      <c r="AA44" s="68"/>
      <c r="AB44" s="95"/>
      <c r="AC44" s="95"/>
      <c r="AD44" s="68"/>
      <c r="AE44" s="95"/>
      <c r="AF44" s="95"/>
      <c r="AG44" s="95"/>
      <c r="AH44" s="120"/>
      <c r="AI44" s="69"/>
      <c r="AJ44" s="95"/>
      <c r="AK44" s="95"/>
      <c r="AL44" s="95"/>
      <c r="AM44" s="110"/>
      <c r="AN44" s="57"/>
      <c r="AO44" s="56"/>
      <c r="AP44" s="57"/>
      <c r="AQ44" s="251"/>
    </row>
    <row r="45" spans="2:43" s="8" customFormat="1">
      <c r="B45" s="39"/>
      <c r="C45" s="16">
        <v>2.6</v>
      </c>
      <c r="D45" s="18" t="s">
        <v>128</v>
      </c>
      <c r="E45" s="380"/>
      <c r="F45" s="374"/>
      <c r="G45" s="375"/>
      <c r="H45" s="375"/>
      <c r="I45" s="375"/>
      <c r="J45" s="375"/>
      <c r="K45" s="374"/>
      <c r="L45" s="375"/>
      <c r="M45" s="375"/>
      <c r="N45" s="375"/>
      <c r="O45" s="375"/>
      <c r="P45" s="374"/>
      <c r="Q45" s="375"/>
      <c r="R45" s="375"/>
      <c r="S45" s="375"/>
      <c r="T45" s="375"/>
      <c r="U45" s="374"/>
      <c r="V45" s="375"/>
      <c r="W45" s="375"/>
      <c r="X45" s="374"/>
      <c r="Y45" s="375"/>
      <c r="Z45" s="375"/>
      <c r="AA45" s="374"/>
      <c r="AB45" s="375"/>
      <c r="AC45" s="375"/>
      <c r="AD45" s="374"/>
      <c r="AE45" s="375"/>
      <c r="AF45" s="375"/>
      <c r="AG45" s="375"/>
      <c r="AH45" s="376"/>
      <c r="AI45" s="375"/>
      <c r="AJ45" s="375"/>
      <c r="AK45" s="375"/>
      <c r="AL45" s="375"/>
      <c r="AM45" s="377"/>
      <c r="AN45" s="381"/>
      <c r="AO45" s="382"/>
      <c r="AP45" s="381"/>
      <c r="AQ45" s="373"/>
    </row>
    <row r="46" spans="2:43" s="8" customFormat="1">
      <c r="B46" s="39"/>
      <c r="C46" s="16"/>
      <c r="D46" s="18" t="s">
        <v>161</v>
      </c>
      <c r="E46" s="16" t="s">
        <v>12</v>
      </c>
      <c r="F46" s="68"/>
      <c r="G46" s="95"/>
      <c r="H46" s="95"/>
      <c r="I46" s="95"/>
      <c r="J46" s="95"/>
      <c r="K46" s="68"/>
      <c r="L46" s="95"/>
      <c r="M46" s="95"/>
      <c r="N46" s="95"/>
      <c r="O46" s="95"/>
      <c r="P46" s="68"/>
      <c r="Q46" s="95"/>
      <c r="R46" s="95"/>
      <c r="S46" s="95"/>
      <c r="T46" s="95"/>
      <c r="U46" s="68"/>
      <c r="V46" s="95"/>
      <c r="W46" s="95"/>
      <c r="X46" s="68"/>
      <c r="Y46" s="95"/>
      <c r="Z46" s="95"/>
      <c r="AA46" s="68"/>
      <c r="AB46" s="95"/>
      <c r="AC46" s="95"/>
      <c r="AD46" s="68"/>
      <c r="AE46" s="95"/>
      <c r="AF46" s="95"/>
      <c r="AG46" s="95"/>
      <c r="AH46" s="120"/>
      <c r="AI46" s="69"/>
      <c r="AJ46" s="95"/>
      <c r="AK46" s="95"/>
      <c r="AL46" s="95"/>
      <c r="AM46" s="110"/>
      <c r="AN46" s="57"/>
      <c r="AO46" s="56"/>
      <c r="AP46" s="57"/>
      <c r="AQ46" s="251"/>
    </row>
    <row r="47" spans="2:43" s="8" customFormat="1">
      <c r="B47" s="39"/>
      <c r="C47" s="16"/>
      <c r="D47" s="17" t="s">
        <v>162</v>
      </c>
      <c r="E47" s="16"/>
      <c r="F47" s="252"/>
      <c r="G47" s="69"/>
      <c r="H47" s="69"/>
      <c r="I47" s="69"/>
      <c r="J47" s="69"/>
      <c r="K47" s="95"/>
      <c r="L47" s="69"/>
      <c r="M47" s="69"/>
      <c r="N47" s="69"/>
      <c r="O47" s="69"/>
      <c r="P47" s="95"/>
      <c r="Q47" s="69"/>
      <c r="R47" s="69"/>
      <c r="S47" s="69"/>
      <c r="T47" s="71"/>
      <c r="U47" s="252"/>
      <c r="V47" s="71"/>
      <c r="W47" s="71"/>
      <c r="X47" s="252"/>
      <c r="Y47" s="71"/>
      <c r="Z47" s="71"/>
      <c r="AA47" s="252"/>
      <c r="AB47" s="71"/>
      <c r="AC47" s="71"/>
      <c r="AD47" s="252"/>
      <c r="AE47" s="69"/>
      <c r="AF47" s="69"/>
      <c r="AG47" s="69"/>
      <c r="AH47" s="119"/>
      <c r="AI47" s="95"/>
      <c r="AJ47" s="69"/>
      <c r="AK47" s="69"/>
      <c r="AL47" s="69"/>
      <c r="AM47" s="71"/>
      <c r="AN47" s="255"/>
      <c r="AO47" s="256"/>
      <c r="AP47" s="255"/>
      <c r="AQ47" s="251"/>
    </row>
    <row r="48" spans="2:43">
      <c r="B48" s="15"/>
      <c r="C48" s="16">
        <v>2.7</v>
      </c>
      <c r="D48" s="18" t="s">
        <v>72</v>
      </c>
      <c r="E48" s="16" t="s">
        <v>13</v>
      </c>
      <c r="F48" s="68"/>
      <c r="G48" s="69"/>
      <c r="H48" s="69"/>
      <c r="I48" s="69"/>
      <c r="J48" s="69"/>
      <c r="K48" s="68"/>
      <c r="L48" s="69"/>
      <c r="M48" s="69"/>
      <c r="N48" s="69"/>
      <c r="O48" s="69"/>
      <c r="P48" s="68"/>
      <c r="Q48" s="69"/>
      <c r="R48" s="69"/>
      <c r="S48" s="69"/>
      <c r="T48" s="69"/>
      <c r="U48" s="68"/>
      <c r="V48" s="69"/>
      <c r="W48" s="69"/>
      <c r="X48" s="68"/>
      <c r="Y48" s="69"/>
      <c r="Z48" s="69"/>
      <c r="AA48" s="68"/>
      <c r="AB48" s="69"/>
      <c r="AC48" s="69"/>
      <c r="AD48" s="68"/>
      <c r="AE48" s="69"/>
      <c r="AF48" s="69"/>
      <c r="AG48" s="69"/>
      <c r="AH48" s="119"/>
      <c r="AI48" s="69"/>
      <c r="AJ48" s="69"/>
      <c r="AK48" s="69"/>
      <c r="AL48" s="69"/>
      <c r="AM48" s="71"/>
      <c r="AN48" s="59"/>
      <c r="AO48" s="58"/>
      <c r="AP48" s="59"/>
      <c r="AQ48" s="251"/>
    </row>
    <row r="49" spans="2:43">
      <c r="B49" s="15"/>
      <c r="C49" s="16">
        <v>2.8</v>
      </c>
      <c r="D49" s="18" t="s">
        <v>100</v>
      </c>
      <c r="E49" s="346"/>
      <c r="F49" s="374"/>
      <c r="G49" s="375"/>
      <c r="H49" s="375"/>
      <c r="I49" s="375"/>
      <c r="J49" s="375"/>
      <c r="K49" s="374"/>
      <c r="L49" s="375"/>
      <c r="M49" s="375"/>
      <c r="N49" s="375"/>
      <c r="O49" s="375"/>
      <c r="P49" s="374"/>
      <c r="Q49" s="375"/>
      <c r="R49" s="375"/>
      <c r="S49" s="375"/>
      <c r="T49" s="375"/>
      <c r="U49" s="374"/>
      <c r="V49" s="375"/>
      <c r="W49" s="375"/>
      <c r="X49" s="374"/>
      <c r="Y49" s="375"/>
      <c r="Z49" s="375"/>
      <c r="AA49" s="374"/>
      <c r="AB49" s="375"/>
      <c r="AC49" s="375"/>
      <c r="AD49" s="374"/>
      <c r="AE49" s="375"/>
      <c r="AF49" s="375"/>
      <c r="AG49" s="375"/>
      <c r="AH49" s="376"/>
      <c r="AI49" s="375"/>
      <c r="AJ49" s="375"/>
      <c r="AK49" s="375"/>
      <c r="AL49" s="375"/>
      <c r="AM49" s="377"/>
      <c r="AN49" s="378"/>
      <c r="AO49" s="379"/>
      <c r="AP49" s="378"/>
      <c r="AQ49" s="373"/>
    </row>
    <row r="50" spans="2:43" ht="28.5" customHeight="1">
      <c r="B50" s="15"/>
      <c r="C50" s="16"/>
      <c r="D50" s="17" t="s">
        <v>205</v>
      </c>
      <c r="E50" s="16" t="s">
        <v>63</v>
      </c>
      <c r="F50" s="68"/>
      <c r="G50" s="95"/>
      <c r="H50" s="95"/>
      <c r="I50" s="95"/>
      <c r="J50" s="95"/>
      <c r="K50" s="68"/>
      <c r="L50" s="95"/>
      <c r="M50" s="95"/>
      <c r="N50" s="95"/>
      <c r="O50" s="95"/>
      <c r="P50" s="68"/>
      <c r="Q50" s="95"/>
      <c r="R50" s="95"/>
      <c r="S50" s="95"/>
      <c r="T50" s="95"/>
      <c r="U50" s="68"/>
      <c r="V50" s="95"/>
      <c r="W50" s="95"/>
      <c r="X50" s="68"/>
      <c r="Y50" s="95"/>
      <c r="Z50" s="95"/>
      <c r="AA50" s="68"/>
      <c r="AB50" s="95"/>
      <c r="AC50" s="95"/>
      <c r="AD50" s="68"/>
      <c r="AE50" s="95"/>
      <c r="AF50" s="95"/>
      <c r="AG50" s="95"/>
      <c r="AH50" s="120"/>
      <c r="AI50" s="69"/>
      <c r="AJ50" s="95"/>
      <c r="AK50" s="95"/>
      <c r="AL50" s="95"/>
      <c r="AM50" s="110"/>
      <c r="AN50" s="72"/>
      <c r="AO50" s="111"/>
      <c r="AP50" s="72"/>
      <c r="AQ50" s="251"/>
    </row>
    <row r="51" spans="2:43" ht="28" customHeight="1">
      <c r="B51" s="15"/>
      <c r="C51" s="16"/>
      <c r="D51" s="17" t="s">
        <v>146</v>
      </c>
      <c r="E51" s="16"/>
      <c r="F51" s="252"/>
      <c r="G51" s="69"/>
      <c r="H51" s="69"/>
      <c r="I51" s="69"/>
      <c r="J51" s="69"/>
      <c r="K51" s="252"/>
      <c r="L51" s="69"/>
      <c r="M51" s="69"/>
      <c r="N51" s="69"/>
      <c r="O51" s="69"/>
      <c r="P51" s="252"/>
      <c r="Q51" s="69"/>
      <c r="R51" s="69"/>
      <c r="S51" s="69"/>
      <c r="T51" s="69"/>
      <c r="U51" s="252"/>
      <c r="V51" s="69"/>
      <c r="W51" s="69"/>
      <c r="X51" s="252"/>
      <c r="Y51" s="69"/>
      <c r="Z51" s="69"/>
      <c r="AA51" s="252"/>
      <c r="AB51" s="69"/>
      <c r="AC51" s="69"/>
      <c r="AD51" s="252"/>
      <c r="AE51" s="69"/>
      <c r="AF51" s="69"/>
      <c r="AG51" s="69"/>
      <c r="AH51" s="119"/>
      <c r="AI51" s="95"/>
      <c r="AJ51" s="69"/>
      <c r="AK51" s="69"/>
      <c r="AL51" s="69"/>
      <c r="AM51" s="71"/>
      <c r="AN51" s="253"/>
      <c r="AO51" s="254"/>
      <c r="AP51" s="253"/>
      <c r="AQ51" s="251"/>
    </row>
    <row r="52" spans="2:43">
      <c r="B52" s="15"/>
      <c r="C52" s="16">
        <v>2.9</v>
      </c>
      <c r="D52" s="18" t="s">
        <v>129</v>
      </c>
      <c r="E52" s="380"/>
      <c r="F52" s="374"/>
      <c r="G52" s="375"/>
      <c r="H52" s="375"/>
      <c r="I52" s="375"/>
      <c r="J52" s="375"/>
      <c r="K52" s="374"/>
      <c r="L52" s="375"/>
      <c r="M52" s="375"/>
      <c r="N52" s="375"/>
      <c r="O52" s="375"/>
      <c r="P52" s="374"/>
      <c r="Q52" s="375"/>
      <c r="R52" s="375"/>
      <c r="S52" s="375"/>
      <c r="T52" s="375"/>
      <c r="U52" s="374"/>
      <c r="V52" s="375"/>
      <c r="W52" s="375"/>
      <c r="X52" s="374"/>
      <c r="Y52" s="375"/>
      <c r="Z52" s="375"/>
      <c r="AA52" s="374"/>
      <c r="AB52" s="375"/>
      <c r="AC52" s="375"/>
      <c r="AD52" s="374"/>
      <c r="AE52" s="375"/>
      <c r="AF52" s="375"/>
      <c r="AG52" s="375"/>
      <c r="AH52" s="376"/>
      <c r="AI52" s="375"/>
      <c r="AJ52" s="375"/>
      <c r="AK52" s="375"/>
      <c r="AL52" s="375"/>
      <c r="AM52" s="377"/>
      <c r="AN52" s="378"/>
      <c r="AO52" s="379"/>
      <c r="AP52" s="378"/>
      <c r="AQ52" s="373"/>
    </row>
    <row r="53" spans="2:43">
      <c r="B53" s="15"/>
      <c r="C53" s="16"/>
      <c r="D53" s="17" t="s">
        <v>187</v>
      </c>
      <c r="E53" s="16" t="s">
        <v>64</v>
      </c>
      <c r="F53" s="68"/>
      <c r="G53" s="95"/>
      <c r="H53" s="95"/>
      <c r="I53" s="95"/>
      <c r="J53" s="95"/>
      <c r="K53" s="68"/>
      <c r="L53" s="95"/>
      <c r="M53" s="95"/>
      <c r="N53" s="95"/>
      <c r="O53" s="95"/>
      <c r="P53" s="68"/>
      <c r="Q53" s="95"/>
      <c r="R53" s="95"/>
      <c r="S53" s="95"/>
      <c r="T53" s="95"/>
      <c r="U53" s="68"/>
      <c r="V53" s="95"/>
      <c r="W53" s="95"/>
      <c r="X53" s="68"/>
      <c r="Y53" s="95"/>
      <c r="Z53" s="95"/>
      <c r="AA53" s="68"/>
      <c r="AB53" s="95"/>
      <c r="AC53" s="95"/>
      <c r="AD53" s="68"/>
      <c r="AE53" s="95"/>
      <c r="AF53" s="95"/>
      <c r="AG53" s="95"/>
      <c r="AH53" s="120"/>
      <c r="AI53" s="69"/>
      <c r="AJ53" s="95"/>
      <c r="AK53" s="95"/>
      <c r="AL53" s="95"/>
      <c r="AM53" s="110"/>
      <c r="AN53" s="72"/>
      <c r="AO53" s="111"/>
      <c r="AP53" s="72"/>
      <c r="AQ53" s="251"/>
    </row>
    <row r="54" spans="2:43" s="8" customFormat="1" ht="24.9">
      <c r="B54" s="39"/>
      <c r="C54" s="16"/>
      <c r="D54" s="17" t="s">
        <v>165</v>
      </c>
      <c r="E54" s="16"/>
      <c r="F54" s="252"/>
      <c r="G54" s="69"/>
      <c r="H54" s="69"/>
      <c r="I54" s="69"/>
      <c r="J54" s="69"/>
      <c r="K54" s="252"/>
      <c r="L54" s="69"/>
      <c r="M54" s="69"/>
      <c r="N54" s="69"/>
      <c r="O54" s="69"/>
      <c r="P54" s="252"/>
      <c r="Q54" s="69"/>
      <c r="R54" s="69"/>
      <c r="S54" s="69"/>
      <c r="T54" s="69"/>
      <c r="U54" s="252"/>
      <c r="V54" s="69"/>
      <c r="W54" s="69"/>
      <c r="X54" s="252"/>
      <c r="Y54" s="69"/>
      <c r="Z54" s="69"/>
      <c r="AA54" s="252"/>
      <c r="AB54" s="69"/>
      <c r="AC54" s="69"/>
      <c r="AD54" s="252"/>
      <c r="AE54" s="69"/>
      <c r="AF54" s="69"/>
      <c r="AG54" s="69"/>
      <c r="AH54" s="119"/>
      <c r="AI54" s="95"/>
      <c r="AJ54" s="69"/>
      <c r="AK54" s="69"/>
      <c r="AL54" s="69"/>
      <c r="AM54" s="71"/>
      <c r="AN54" s="253"/>
      <c r="AO54" s="254"/>
      <c r="AP54" s="253"/>
      <c r="AQ54" s="251"/>
    </row>
    <row r="55" spans="2:43">
      <c r="B55" s="15"/>
      <c r="C55" s="40" t="s">
        <v>65</v>
      </c>
      <c r="D55" s="18" t="s">
        <v>99</v>
      </c>
      <c r="E55" s="16" t="s">
        <v>93</v>
      </c>
      <c r="F55" s="68"/>
      <c r="G55" s="238"/>
      <c r="H55" s="238"/>
      <c r="I55" s="238"/>
      <c r="J55" s="238"/>
      <c r="K55" s="68"/>
      <c r="L55" s="238"/>
      <c r="M55" s="238"/>
      <c r="N55" s="238"/>
      <c r="O55" s="238"/>
      <c r="P55" s="68"/>
      <c r="Q55" s="238"/>
      <c r="R55" s="238"/>
      <c r="S55" s="238"/>
      <c r="T55" s="238"/>
      <c r="U55" s="68"/>
      <c r="V55" s="238"/>
      <c r="W55" s="238"/>
      <c r="X55" s="68"/>
      <c r="Y55" s="238"/>
      <c r="Z55" s="238"/>
      <c r="AA55" s="68"/>
      <c r="AB55" s="238"/>
      <c r="AC55" s="238"/>
      <c r="AD55" s="68"/>
      <c r="AE55" s="238"/>
      <c r="AF55" s="238"/>
      <c r="AG55" s="238"/>
      <c r="AH55" s="239"/>
      <c r="AI55" s="69"/>
      <c r="AJ55" s="238"/>
      <c r="AK55" s="238"/>
      <c r="AL55" s="238"/>
      <c r="AM55" s="240"/>
      <c r="AN55" s="72"/>
      <c r="AO55" s="111"/>
      <c r="AP55" s="72"/>
      <c r="AQ55" s="251"/>
    </row>
    <row r="56" spans="2:43">
      <c r="B56" s="15"/>
      <c r="C56" s="16">
        <v>2.11</v>
      </c>
      <c r="D56" s="18" t="s">
        <v>106</v>
      </c>
      <c r="E56" s="346"/>
      <c r="F56" s="374"/>
      <c r="G56" s="383"/>
      <c r="H56" s="383"/>
      <c r="I56" s="383"/>
      <c r="J56" s="383"/>
      <c r="K56" s="374"/>
      <c r="L56" s="383"/>
      <c r="M56" s="383"/>
      <c r="N56" s="383"/>
      <c r="O56" s="383"/>
      <c r="P56" s="374"/>
      <c r="Q56" s="383"/>
      <c r="R56" s="383"/>
      <c r="S56" s="383"/>
      <c r="T56" s="383"/>
      <c r="U56" s="374"/>
      <c r="V56" s="383"/>
      <c r="W56" s="383"/>
      <c r="X56" s="374"/>
      <c r="Y56" s="383"/>
      <c r="Z56" s="383"/>
      <c r="AA56" s="374"/>
      <c r="AB56" s="383"/>
      <c r="AC56" s="383"/>
      <c r="AD56" s="374"/>
      <c r="AE56" s="383"/>
      <c r="AF56" s="383"/>
      <c r="AG56" s="383"/>
      <c r="AH56" s="384"/>
      <c r="AI56" s="375"/>
      <c r="AJ56" s="383"/>
      <c r="AK56" s="383"/>
      <c r="AL56" s="383"/>
      <c r="AM56" s="385"/>
      <c r="AN56" s="378"/>
      <c r="AO56" s="379"/>
      <c r="AP56" s="378"/>
      <c r="AQ56" s="373"/>
    </row>
    <row r="57" spans="2:43">
      <c r="B57" s="15"/>
      <c r="C57" s="16"/>
      <c r="D57" s="17" t="s">
        <v>194</v>
      </c>
      <c r="E57" s="16" t="s">
        <v>46</v>
      </c>
      <c r="F57" s="68"/>
      <c r="G57" s="70"/>
      <c r="H57" s="70"/>
      <c r="I57" s="70"/>
      <c r="J57" s="70"/>
      <c r="K57" s="68"/>
      <c r="L57" s="70"/>
      <c r="M57" s="70"/>
      <c r="N57" s="70"/>
      <c r="O57" s="70"/>
      <c r="P57" s="68"/>
      <c r="Q57" s="70"/>
      <c r="R57" s="70"/>
      <c r="S57" s="70"/>
      <c r="T57" s="70"/>
      <c r="U57" s="68"/>
      <c r="V57" s="70"/>
      <c r="W57" s="70"/>
      <c r="X57" s="68"/>
      <c r="Y57" s="70"/>
      <c r="Z57" s="70"/>
      <c r="AA57" s="68"/>
      <c r="AB57" s="70"/>
      <c r="AC57" s="70"/>
      <c r="AD57" s="68"/>
      <c r="AE57" s="70"/>
      <c r="AF57" s="70"/>
      <c r="AG57" s="70"/>
      <c r="AH57" s="118"/>
      <c r="AI57" s="69"/>
      <c r="AJ57" s="70"/>
      <c r="AK57" s="70"/>
      <c r="AL57" s="70"/>
      <c r="AM57" s="109"/>
      <c r="AN57" s="72"/>
      <c r="AO57" s="111"/>
      <c r="AP57" s="72"/>
      <c r="AQ57" s="251"/>
    </row>
    <row r="58" spans="2:43">
      <c r="B58" s="15"/>
      <c r="C58" s="16"/>
      <c r="D58" s="18" t="s">
        <v>195</v>
      </c>
      <c r="E58" s="16" t="s">
        <v>47</v>
      </c>
      <c r="F58" s="68"/>
      <c r="G58" s="70"/>
      <c r="H58" s="70"/>
      <c r="I58" s="70"/>
      <c r="J58" s="70"/>
      <c r="K58" s="68"/>
      <c r="L58" s="70"/>
      <c r="M58" s="70"/>
      <c r="N58" s="70"/>
      <c r="O58" s="70"/>
      <c r="P58" s="68"/>
      <c r="Q58" s="70"/>
      <c r="R58" s="70"/>
      <c r="S58" s="70"/>
      <c r="T58" s="70"/>
      <c r="U58" s="68"/>
      <c r="V58" s="70"/>
      <c r="W58" s="70"/>
      <c r="X58" s="68"/>
      <c r="Y58" s="70"/>
      <c r="Z58" s="70"/>
      <c r="AA58" s="68"/>
      <c r="AB58" s="70"/>
      <c r="AC58" s="70"/>
      <c r="AD58" s="68"/>
      <c r="AE58" s="70"/>
      <c r="AF58" s="70"/>
      <c r="AG58" s="70"/>
      <c r="AH58" s="118"/>
      <c r="AI58" s="69"/>
      <c r="AJ58" s="70"/>
      <c r="AK58" s="70"/>
      <c r="AL58" s="70"/>
      <c r="AM58" s="109"/>
      <c r="AN58" s="72"/>
      <c r="AO58" s="111"/>
      <c r="AP58" s="72"/>
      <c r="AQ58" s="251"/>
    </row>
    <row r="59" spans="2:43">
      <c r="B59" s="15"/>
      <c r="C59" s="16"/>
      <c r="D59" s="18" t="s">
        <v>196</v>
      </c>
      <c r="E59" s="16" t="s">
        <v>48</v>
      </c>
      <c r="F59" s="68"/>
      <c r="G59" s="238"/>
      <c r="H59" s="238"/>
      <c r="I59" s="238"/>
      <c r="J59" s="238"/>
      <c r="K59" s="68"/>
      <c r="L59" s="238"/>
      <c r="M59" s="238"/>
      <c r="N59" s="238"/>
      <c r="O59" s="238"/>
      <c r="P59" s="68"/>
      <c r="Q59" s="238"/>
      <c r="R59" s="238"/>
      <c r="S59" s="238"/>
      <c r="T59" s="238"/>
      <c r="U59" s="68"/>
      <c r="V59" s="238"/>
      <c r="W59" s="238"/>
      <c r="X59" s="68"/>
      <c r="Y59" s="238"/>
      <c r="Z59" s="238"/>
      <c r="AA59" s="68"/>
      <c r="AB59" s="238"/>
      <c r="AC59" s="238"/>
      <c r="AD59" s="68"/>
      <c r="AE59" s="238"/>
      <c r="AF59" s="238"/>
      <c r="AG59" s="238"/>
      <c r="AH59" s="239"/>
      <c r="AI59" s="69"/>
      <c r="AJ59" s="238"/>
      <c r="AK59" s="238"/>
      <c r="AL59" s="238"/>
      <c r="AM59" s="240"/>
      <c r="AN59" s="72"/>
      <c r="AO59" s="111"/>
      <c r="AP59" s="72"/>
      <c r="AQ59" s="251"/>
    </row>
    <row r="60" spans="2:43">
      <c r="B60" s="15"/>
      <c r="C60" s="24">
        <v>2.12</v>
      </c>
      <c r="D60" s="18" t="s">
        <v>197</v>
      </c>
      <c r="E60" s="346"/>
      <c r="F60" s="386"/>
      <c r="G60" s="387"/>
      <c r="H60" s="387"/>
      <c r="I60" s="387"/>
      <c r="J60" s="387"/>
      <c r="K60" s="386"/>
      <c r="L60" s="387"/>
      <c r="M60" s="387"/>
      <c r="N60" s="387"/>
      <c r="O60" s="387"/>
      <c r="P60" s="386"/>
      <c r="Q60" s="387"/>
      <c r="R60" s="387"/>
      <c r="S60" s="387"/>
      <c r="T60" s="387"/>
      <c r="U60" s="386"/>
      <c r="V60" s="387"/>
      <c r="W60" s="387"/>
      <c r="X60" s="386"/>
      <c r="Y60" s="387"/>
      <c r="Z60" s="387"/>
      <c r="AA60" s="386"/>
      <c r="AB60" s="387"/>
      <c r="AC60" s="387"/>
      <c r="AD60" s="386"/>
      <c r="AE60" s="387"/>
      <c r="AF60" s="387"/>
      <c r="AG60" s="387"/>
      <c r="AH60" s="388"/>
      <c r="AI60" s="389"/>
      <c r="AJ60" s="387"/>
      <c r="AK60" s="387"/>
      <c r="AL60" s="387"/>
      <c r="AM60" s="390"/>
      <c r="AN60" s="391"/>
      <c r="AO60" s="392"/>
      <c r="AP60" s="391"/>
      <c r="AQ60" s="393"/>
    </row>
    <row r="61" spans="2:43">
      <c r="B61" s="15"/>
      <c r="C61" s="16"/>
      <c r="D61" s="18" t="s">
        <v>198</v>
      </c>
      <c r="E61" s="16" t="s">
        <v>49</v>
      </c>
      <c r="F61" s="68"/>
      <c r="G61" s="69"/>
      <c r="H61" s="69"/>
      <c r="I61" s="69"/>
      <c r="J61" s="69"/>
      <c r="K61" s="68"/>
      <c r="L61" s="69"/>
      <c r="M61" s="69"/>
      <c r="N61" s="69"/>
      <c r="O61" s="69"/>
      <c r="P61" s="68"/>
      <c r="Q61" s="69"/>
      <c r="R61" s="69"/>
      <c r="S61" s="69"/>
      <c r="T61" s="69"/>
      <c r="U61" s="68"/>
      <c r="V61" s="69"/>
      <c r="W61" s="69"/>
      <c r="X61" s="68"/>
      <c r="Y61" s="69"/>
      <c r="Z61" s="69"/>
      <c r="AA61" s="68"/>
      <c r="AB61" s="69"/>
      <c r="AC61" s="69"/>
      <c r="AD61" s="68"/>
      <c r="AE61" s="69"/>
      <c r="AF61" s="69"/>
      <c r="AG61" s="69"/>
      <c r="AH61" s="119"/>
      <c r="AI61" s="69"/>
      <c r="AJ61" s="69"/>
      <c r="AK61" s="69"/>
      <c r="AL61" s="69"/>
      <c r="AM61" s="71"/>
      <c r="AN61" s="72"/>
      <c r="AO61" s="111"/>
      <c r="AP61" s="72"/>
      <c r="AQ61" s="251"/>
    </row>
    <row r="62" spans="2:43">
      <c r="B62" s="15"/>
      <c r="C62" s="16"/>
      <c r="D62" s="18" t="s">
        <v>199</v>
      </c>
      <c r="E62" s="16" t="s">
        <v>50</v>
      </c>
      <c r="F62" s="68"/>
      <c r="G62" s="238"/>
      <c r="H62" s="238"/>
      <c r="I62" s="238"/>
      <c r="J62" s="238"/>
      <c r="K62" s="68"/>
      <c r="L62" s="238"/>
      <c r="M62" s="238"/>
      <c r="N62" s="238"/>
      <c r="O62" s="238"/>
      <c r="P62" s="68"/>
      <c r="Q62" s="238"/>
      <c r="R62" s="238"/>
      <c r="S62" s="238"/>
      <c r="T62" s="238"/>
      <c r="U62" s="68"/>
      <c r="V62" s="238"/>
      <c r="W62" s="238"/>
      <c r="X62" s="68"/>
      <c r="Y62" s="238"/>
      <c r="Z62" s="238"/>
      <c r="AA62" s="68"/>
      <c r="AB62" s="238"/>
      <c r="AC62" s="238"/>
      <c r="AD62" s="68"/>
      <c r="AE62" s="238"/>
      <c r="AF62" s="238"/>
      <c r="AG62" s="238"/>
      <c r="AH62" s="239"/>
      <c r="AI62" s="69"/>
      <c r="AJ62" s="238"/>
      <c r="AK62" s="238"/>
      <c r="AL62" s="238"/>
      <c r="AM62" s="240"/>
      <c r="AN62" s="72"/>
      <c r="AO62" s="111"/>
      <c r="AP62" s="72"/>
      <c r="AQ62" s="251"/>
    </row>
    <row r="63" spans="2:43" s="8" customFormat="1">
      <c r="B63" s="39"/>
      <c r="C63" s="41">
        <v>2.13</v>
      </c>
      <c r="D63" s="18" t="s">
        <v>84</v>
      </c>
      <c r="E63" s="16"/>
      <c r="F63" s="68"/>
      <c r="G63" s="69"/>
      <c r="H63" s="69"/>
      <c r="I63" s="69"/>
      <c r="J63" s="69"/>
      <c r="K63" s="68"/>
      <c r="L63" s="69"/>
      <c r="M63" s="69"/>
      <c r="N63" s="69"/>
      <c r="O63" s="69"/>
      <c r="P63" s="68"/>
      <c r="Q63" s="69"/>
      <c r="R63" s="69"/>
      <c r="S63" s="69"/>
      <c r="T63" s="69"/>
      <c r="U63" s="68"/>
      <c r="V63" s="69"/>
      <c r="W63" s="69"/>
      <c r="X63" s="68"/>
      <c r="Y63" s="69"/>
      <c r="Z63" s="69"/>
      <c r="AA63" s="68"/>
      <c r="AB63" s="69"/>
      <c r="AC63" s="69"/>
      <c r="AD63" s="68"/>
      <c r="AE63" s="69"/>
      <c r="AF63" s="69"/>
      <c r="AG63" s="69"/>
      <c r="AH63" s="119"/>
      <c r="AI63" s="69"/>
      <c r="AJ63" s="69"/>
      <c r="AK63" s="69"/>
      <c r="AL63" s="69"/>
      <c r="AM63" s="71"/>
      <c r="AN63" s="72"/>
      <c r="AO63" s="111"/>
      <c r="AP63" s="72"/>
      <c r="AQ63" s="251"/>
    </row>
    <row r="64" spans="2:43">
      <c r="B64" s="15"/>
      <c r="C64" s="24">
        <v>2.14</v>
      </c>
      <c r="D64" s="18" t="s">
        <v>71</v>
      </c>
      <c r="E64" s="16" t="s">
        <v>14</v>
      </c>
      <c r="F64" s="68"/>
      <c r="G64" s="69"/>
      <c r="H64" s="69"/>
      <c r="I64" s="69"/>
      <c r="J64" s="69"/>
      <c r="K64" s="68"/>
      <c r="L64" s="69"/>
      <c r="M64" s="69"/>
      <c r="N64" s="69"/>
      <c r="O64" s="69"/>
      <c r="P64" s="68"/>
      <c r="Q64" s="69"/>
      <c r="R64" s="69"/>
      <c r="S64" s="69"/>
      <c r="T64" s="69"/>
      <c r="U64" s="68"/>
      <c r="V64" s="69"/>
      <c r="W64" s="69"/>
      <c r="X64" s="68"/>
      <c r="Y64" s="69"/>
      <c r="Z64" s="69"/>
      <c r="AA64" s="68"/>
      <c r="AB64" s="69"/>
      <c r="AC64" s="69"/>
      <c r="AD64" s="68"/>
      <c r="AE64" s="69"/>
      <c r="AF64" s="69"/>
      <c r="AG64" s="69"/>
      <c r="AH64" s="119"/>
      <c r="AI64" s="69"/>
      <c r="AJ64" s="69"/>
      <c r="AK64" s="69"/>
      <c r="AL64" s="69"/>
      <c r="AM64" s="71"/>
      <c r="AN64" s="72"/>
      <c r="AO64" s="111"/>
      <c r="AP64" s="72"/>
      <c r="AQ64" s="251"/>
    </row>
    <row r="65" spans="1:43" s="8" customFormat="1">
      <c r="B65" s="39"/>
      <c r="C65" s="24">
        <v>2.15</v>
      </c>
      <c r="D65" s="18" t="s">
        <v>130</v>
      </c>
      <c r="E65" s="16" t="s">
        <v>15</v>
      </c>
      <c r="F65" s="68"/>
      <c r="G65" s="69"/>
      <c r="H65" s="69"/>
      <c r="I65" s="69"/>
      <c r="J65" s="69"/>
      <c r="K65" s="68"/>
      <c r="L65" s="69"/>
      <c r="M65" s="69"/>
      <c r="N65" s="69"/>
      <c r="O65" s="69"/>
      <c r="P65" s="68"/>
      <c r="Q65" s="69"/>
      <c r="R65" s="69"/>
      <c r="S65" s="69"/>
      <c r="T65" s="69"/>
      <c r="U65" s="68"/>
      <c r="V65" s="69"/>
      <c r="W65" s="69"/>
      <c r="X65" s="68"/>
      <c r="Y65" s="69"/>
      <c r="Z65" s="69"/>
      <c r="AA65" s="68"/>
      <c r="AB65" s="69"/>
      <c r="AC65" s="69"/>
      <c r="AD65" s="68"/>
      <c r="AE65" s="69"/>
      <c r="AF65" s="69"/>
      <c r="AG65" s="69"/>
      <c r="AH65" s="119"/>
      <c r="AI65" s="69"/>
      <c r="AJ65" s="69"/>
      <c r="AK65" s="69"/>
      <c r="AL65" s="69"/>
      <c r="AM65" s="71"/>
      <c r="AN65" s="72"/>
      <c r="AO65" s="111"/>
      <c r="AP65" s="72"/>
      <c r="AQ65" s="251"/>
    </row>
    <row r="66" spans="1:43" s="8" customFormat="1">
      <c r="A66" s="162"/>
      <c r="B66" s="39"/>
      <c r="C66" s="24">
        <v>2.16</v>
      </c>
      <c r="D66" s="17" t="s">
        <v>163</v>
      </c>
      <c r="E66" s="16" t="s">
        <v>135</v>
      </c>
      <c r="F66" s="496">
        <f>F35+F38-F40+F42-F44+F46-F48+F50+F53-F55+F57+F58-F59-F61+F62+F63+F64+F65</f>
        <v>0</v>
      </c>
      <c r="G66" s="497">
        <f>G36+G39+G43+G47-G48+G51+G54+G57+G58-G61+G63+G64+G65</f>
        <v>0</v>
      </c>
      <c r="H66" s="497">
        <f t="shared" ref="H66:J66" si="0">H36+H39+H43+H47-H48+H51+H54+H57+H58-H61+H63+H64+H65</f>
        <v>0</v>
      </c>
      <c r="I66" s="497">
        <f t="shared" si="0"/>
        <v>0</v>
      </c>
      <c r="J66" s="497">
        <f t="shared" si="0"/>
        <v>0</v>
      </c>
      <c r="K66" s="496">
        <f>K35+K38-K40+K42-K44+K46-K48+K50+K53-K55+K57+K58-K59-K61+K62+K63+K64+K65</f>
        <v>0</v>
      </c>
      <c r="L66" s="497">
        <f>L36+L39+L43+L47-L48+L51+L54+L57+L58-L61+L63+L64+L65</f>
        <v>0</v>
      </c>
      <c r="M66" s="497">
        <f t="shared" ref="M66:O66" si="1">M36+M39+M43+M47-M48+M51+M54+M57+M58-M61+M63+M64+M65</f>
        <v>0</v>
      </c>
      <c r="N66" s="497">
        <f t="shared" si="1"/>
        <v>0</v>
      </c>
      <c r="O66" s="497">
        <f t="shared" si="1"/>
        <v>0</v>
      </c>
      <c r="P66" s="496">
        <f>P35+P38-P40+P42-P44+P46-P48+P50+P53-P55+P57+P58-P59-P61+P62+P63+P64+P65</f>
        <v>0</v>
      </c>
      <c r="Q66" s="497">
        <f>Q36+Q39+Q43+Q47-Q48+Q51+Q54+Q57+Q58-Q61+Q63+Q64+Q65</f>
        <v>0</v>
      </c>
      <c r="R66" s="497">
        <f t="shared" ref="R66:T66" si="2">R36+R39+R43+R47-R48+R51+R54+R57+R58-R61+R63+R64+R65</f>
        <v>0</v>
      </c>
      <c r="S66" s="497">
        <f t="shared" si="2"/>
        <v>0</v>
      </c>
      <c r="T66" s="497">
        <f t="shared" si="2"/>
        <v>0</v>
      </c>
      <c r="U66" s="496">
        <f>U35+U38-U40+U42-U44+U46-U48+U50+U53-U55+U57+U58-U59-U61+U62+U63+U64+U65</f>
        <v>0</v>
      </c>
      <c r="V66" s="497">
        <f>V36+V39+V43+V47-V48+V51+V54+V57+V58-V61+V63+V64+V65</f>
        <v>0</v>
      </c>
      <c r="W66" s="497">
        <f t="shared" ref="W66" si="3">W36+W39+W43+W47-W48+W51+W54+W57+W58-W61+W63+W64+W65</f>
        <v>0</v>
      </c>
      <c r="X66" s="496">
        <f>X35+X38-X40+X42-X44+X46-X48+X50+X53-X55+X57+X58-X59-X61+X62+X63+X64+X65</f>
        <v>0</v>
      </c>
      <c r="Y66" s="497">
        <f>Y36+Y39+Y43+Y47-Y48+Y51+Y54+Y57+Y58-Y61+Y63+Y64+Y65</f>
        <v>0</v>
      </c>
      <c r="Z66" s="497">
        <f t="shared" ref="Z66" si="4">Z36+Z39+Z43+Z47-Z48+Z51+Z54+Z57+Z58-Z61+Z63+Z64+Z65</f>
        <v>0</v>
      </c>
      <c r="AA66" s="496">
        <f>AA35+AA38-AA40+AA42-AA44+AA46-AA48+AA50+AA53-AA55+AA57+AA58-AA59-AA61+AA62+AA63+AA64+AA65</f>
        <v>0</v>
      </c>
      <c r="AB66" s="497">
        <f>AB36+AB39+AB43+AB47-AB48+AB51+AB54+AB57+AB58-AB61+AB63+AB64+AB65</f>
        <v>0</v>
      </c>
      <c r="AC66" s="497">
        <f t="shared" ref="AC66" si="5">AC36+AC39+AC43+AC47-AC48+AC51+AC54+AC57+AC58-AC61+AC63+AC64+AC65</f>
        <v>0</v>
      </c>
      <c r="AD66" s="496">
        <f>AD35+AD38-AD40+AD42-AD44+AD46-AD48+AD50+AD53-AD55+AD57+AD58-AD59-AD61+AD62+AD63+AD64+AD65</f>
        <v>0</v>
      </c>
      <c r="AE66" s="497">
        <f>AE36+AE39+AE43+AE47-AE48+AE51+AE54+AE57+AE58-AE61+AE63+AE64+AE65</f>
        <v>0</v>
      </c>
      <c r="AF66" s="497">
        <f t="shared" ref="AF66:AH66" si="6">AF36+AF39+AF43+AF47-AF48+AF51+AF54+AF57+AF58-AF61+AF63+AF64+AF65</f>
        <v>0</v>
      </c>
      <c r="AG66" s="497">
        <f t="shared" si="6"/>
        <v>0</v>
      </c>
      <c r="AH66" s="497">
        <f t="shared" si="6"/>
        <v>0</v>
      </c>
      <c r="AI66" s="496">
        <f>AI35+AI38-AI40+AI42-AI44+AI46-AI48+AI50+AI53-AI55+AI57+AI58-AI59-AI61+AI62+AI63+AI64+AI65</f>
        <v>0</v>
      </c>
      <c r="AJ66" s="497">
        <f>AJ36+AJ39+AJ43+AJ47-AJ48+AJ51+AJ54+AJ57+AJ58-AJ61+AJ63+AJ64+AJ65</f>
        <v>0</v>
      </c>
      <c r="AK66" s="497">
        <f t="shared" ref="AK66:AM66" si="7">AK36+AK39+AK43+AK47-AK48+AK51+AK54+AK57+AK58-AK61+AK63+AK64+AK65</f>
        <v>0</v>
      </c>
      <c r="AL66" s="497">
        <f t="shared" si="7"/>
        <v>0</v>
      </c>
      <c r="AM66" s="498">
        <f t="shared" si="7"/>
        <v>0</v>
      </c>
      <c r="AN66" s="499">
        <f t="shared" ref="AN66:AP66" si="8">AN35+AN38-AN40+AN42-AN44+AN46-AN48+AN50+AN53-AN55+AN57+AN58-AN59-AN61+AN62+AN63+AN64+AN65</f>
        <v>0</v>
      </c>
      <c r="AO66" s="500">
        <f t="shared" si="8"/>
        <v>0</v>
      </c>
      <c r="AP66" s="499">
        <f t="shared" si="8"/>
        <v>0</v>
      </c>
      <c r="AQ66" s="251"/>
    </row>
    <row r="67" spans="1:43">
      <c r="B67" s="15"/>
      <c r="C67" s="24">
        <v>2.17</v>
      </c>
      <c r="D67" s="17" t="s">
        <v>204</v>
      </c>
      <c r="E67" s="26" t="s">
        <v>39</v>
      </c>
      <c r="F67" s="501">
        <f>MIN(F68,F69)</f>
        <v>0</v>
      </c>
      <c r="G67" s="502">
        <f t="shared" ref="G67:AP67" si="9">MIN(G68,G69)</f>
        <v>0</v>
      </c>
      <c r="H67" s="502">
        <f t="shared" si="9"/>
        <v>0</v>
      </c>
      <c r="I67" s="502">
        <f t="shared" si="9"/>
        <v>0</v>
      </c>
      <c r="J67" s="502">
        <f t="shared" si="9"/>
        <v>0</v>
      </c>
      <c r="K67" s="501">
        <f t="shared" si="9"/>
        <v>0</v>
      </c>
      <c r="L67" s="502">
        <f t="shared" si="9"/>
        <v>0</v>
      </c>
      <c r="M67" s="502">
        <f t="shared" si="9"/>
        <v>0</v>
      </c>
      <c r="N67" s="502">
        <f t="shared" si="9"/>
        <v>0</v>
      </c>
      <c r="O67" s="502">
        <f t="shared" si="9"/>
        <v>0</v>
      </c>
      <c r="P67" s="501">
        <f t="shared" si="9"/>
        <v>0</v>
      </c>
      <c r="Q67" s="502">
        <f t="shared" si="9"/>
        <v>0</v>
      </c>
      <c r="R67" s="502">
        <f t="shared" si="9"/>
        <v>0</v>
      </c>
      <c r="S67" s="502">
        <f t="shared" si="9"/>
        <v>0</v>
      </c>
      <c r="T67" s="502">
        <f t="shared" si="9"/>
        <v>0</v>
      </c>
      <c r="U67" s="501">
        <f t="shared" si="9"/>
        <v>0</v>
      </c>
      <c r="V67" s="502">
        <f t="shared" si="9"/>
        <v>0</v>
      </c>
      <c r="W67" s="502">
        <f t="shared" si="9"/>
        <v>0</v>
      </c>
      <c r="X67" s="501">
        <f t="shared" si="9"/>
        <v>0</v>
      </c>
      <c r="Y67" s="502">
        <f t="shared" si="9"/>
        <v>0</v>
      </c>
      <c r="Z67" s="502">
        <f t="shared" si="9"/>
        <v>0</v>
      </c>
      <c r="AA67" s="501">
        <f t="shared" si="9"/>
        <v>0</v>
      </c>
      <c r="AB67" s="502">
        <f t="shared" si="9"/>
        <v>0</v>
      </c>
      <c r="AC67" s="502">
        <f t="shared" si="9"/>
        <v>0</v>
      </c>
      <c r="AD67" s="501">
        <f t="shared" si="9"/>
        <v>0</v>
      </c>
      <c r="AE67" s="502">
        <f t="shared" si="9"/>
        <v>0</v>
      </c>
      <c r="AF67" s="502">
        <f t="shared" si="9"/>
        <v>0</v>
      </c>
      <c r="AG67" s="502">
        <f t="shared" si="9"/>
        <v>0</v>
      </c>
      <c r="AH67" s="503">
        <f t="shared" si="9"/>
        <v>0</v>
      </c>
      <c r="AI67" s="504">
        <f t="shared" si="9"/>
        <v>0</v>
      </c>
      <c r="AJ67" s="502">
        <f t="shared" si="9"/>
        <v>0</v>
      </c>
      <c r="AK67" s="502">
        <f t="shared" si="9"/>
        <v>0</v>
      </c>
      <c r="AL67" s="502">
        <f t="shared" si="9"/>
        <v>0</v>
      </c>
      <c r="AM67" s="505">
        <f t="shared" si="9"/>
        <v>0</v>
      </c>
      <c r="AN67" s="506">
        <f t="shared" si="9"/>
        <v>0</v>
      </c>
      <c r="AO67" s="507">
        <f t="shared" si="9"/>
        <v>0</v>
      </c>
      <c r="AP67" s="506">
        <f t="shared" si="9"/>
        <v>0</v>
      </c>
      <c r="AQ67" s="251"/>
    </row>
    <row r="68" spans="1:43" ht="25.55" customHeight="1">
      <c r="B68" s="15"/>
      <c r="C68" s="24"/>
      <c r="D68" s="18" t="s">
        <v>200</v>
      </c>
      <c r="E68" s="26" t="s">
        <v>87</v>
      </c>
      <c r="F68" s="68"/>
      <c r="G68" s="70"/>
      <c r="H68" s="70"/>
      <c r="I68" s="70"/>
      <c r="J68" s="70"/>
      <c r="K68" s="68"/>
      <c r="L68" s="70"/>
      <c r="M68" s="70"/>
      <c r="N68" s="70"/>
      <c r="O68" s="70"/>
      <c r="P68" s="68"/>
      <c r="Q68" s="70"/>
      <c r="R68" s="70"/>
      <c r="S68" s="70"/>
      <c r="T68" s="70"/>
      <c r="U68" s="68"/>
      <c r="V68" s="70"/>
      <c r="W68" s="70"/>
      <c r="X68" s="68"/>
      <c r="Y68" s="70"/>
      <c r="Z68" s="70"/>
      <c r="AA68" s="68"/>
      <c r="AB68" s="70"/>
      <c r="AC68" s="70"/>
      <c r="AD68" s="68"/>
      <c r="AE68" s="70"/>
      <c r="AF68" s="70"/>
      <c r="AG68" s="70"/>
      <c r="AH68" s="118"/>
      <c r="AI68" s="69"/>
      <c r="AJ68" s="70"/>
      <c r="AK68" s="70"/>
      <c r="AL68" s="70"/>
      <c r="AM68" s="109"/>
      <c r="AN68" s="72"/>
      <c r="AO68" s="111"/>
      <c r="AP68" s="72"/>
      <c r="AQ68" s="73"/>
    </row>
    <row r="69" spans="1:43" ht="15.05" customHeight="1">
      <c r="B69" s="15"/>
      <c r="C69" s="24"/>
      <c r="D69" s="18" t="s">
        <v>201</v>
      </c>
      <c r="E69" s="26" t="s">
        <v>40</v>
      </c>
      <c r="F69" s="68"/>
      <c r="G69" s="70"/>
      <c r="H69" s="70"/>
      <c r="I69" s="70"/>
      <c r="J69" s="70"/>
      <c r="K69" s="68"/>
      <c r="L69" s="70"/>
      <c r="M69" s="70"/>
      <c r="N69" s="70"/>
      <c r="O69" s="70"/>
      <c r="P69" s="68"/>
      <c r="Q69" s="70"/>
      <c r="R69" s="70"/>
      <c r="S69" s="70"/>
      <c r="T69" s="70"/>
      <c r="U69" s="68"/>
      <c r="V69" s="70"/>
      <c r="W69" s="70"/>
      <c r="X69" s="68"/>
      <c r="Y69" s="70"/>
      <c r="Z69" s="70"/>
      <c r="AA69" s="68"/>
      <c r="AB69" s="70"/>
      <c r="AC69" s="70"/>
      <c r="AD69" s="68"/>
      <c r="AE69" s="70"/>
      <c r="AF69" s="70"/>
      <c r="AG69" s="70"/>
      <c r="AH69" s="118"/>
      <c r="AI69" s="69"/>
      <c r="AJ69" s="70"/>
      <c r="AK69" s="70"/>
      <c r="AL69" s="70"/>
      <c r="AM69" s="109"/>
      <c r="AN69" s="72"/>
      <c r="AO69" s="111"/>
      <c r="AP69" s="72"/>
      <c r="AQ69" s="73"/>
    </row>
    <row r="70" spans="1:43" ht="13.1" thickBot="1">
      <c r="B70" s="307"/>
      <c r="C70" s="316"/>
      <c r="D70" s="355"/>
      <c r="E70" s="338"/>
      <c r="F70" s="356"/>
      <c r="G70" s="357"/>
      <c r="H70" s="357"/>
      <c r="I70" s="357"/>
      <c r="J70" s="357"/>
      <c r="K70" s="356"/>
      <c r="L70" s="357"/>
      <c r="M70" s="357"/>
      <c r="N70" s="357"/>
      <c r="O70" s="357"/>
      <c r="P70" s="356"/>
      <c r="Q70" s="357"/>
      <c r="R70" s="357"/>
      <c r="S70" s="357"/>
      <c r="T70" s="357"/>
      <c r="U70" s="356"/>
      <c r="V70" s="357"/>
      <c r="W70" s="357"/>
      <c r="X70" s="356"/>
      <c r="Y70" s="357"/>
      <c r="Z70" s="357"/>
      <c r="AA70" s="356"/>
      <c r="AB70" s="357"/>
      <c r="AC70" s="357"/>
      <c r="AD70" s="356"/>
      <c r="AE70" s="357"/>
      <c r="AF70" s="357"/>
      <c r="AG70" s="357"/>
      <c r="AH70" s="358"/>
      <c r="AI70" s="357"/>
      <c r="AJ70" s="357"/>
      <c r="AK70" s="357"/>
      <c r="AL70" s="357"/>
      <c r="AM70" s="359"/>
      <c r="AN70" s="360"/>
      <c r="AO70" s="361"/>
      <c r="AP70" s="360"/>
      <c r="AQ70" s="362"/>
    </row>
    <row r="72" spans="1:43" ht="13.1">
      <c r="B72" s="123" t="s">
        <v>225</v>
      </c>
      <c r="C72" s="123"/>
      <c r="D72" s="123"/>
    </row>
    <row r="73" spans="1:43" ht="13.1" customHeight="1">
      <c r="B73" s="123"/>
      <c r="C73" s="513" t="s">
        <v>226</v>
      </c>
      <c r="D73" s="513"/>
    </row>
    <row r="74" spans="1:43" ht="13.1">
      <c r="B74" s="123"/>
      <c r="C74" s="216" t="s">
        <v>314</v>
      </c>
      <c r="D74" s="216"/>
    </row>
    <row r="75" spans="1:43" ht="13.1" customHeight="1">
      <c r="B75" s="123"/>
      <c r="C75" s="216" t="s">
        <v>313</v>
      </c>
      <c r="D75" s="216"/>
    </row>
    <row r="76" spans="1:43" ht="13.1" customHeight="1">
      <c r="C76" s="513" t="s">
        <v>315</v>
      </c>
      <c r="D76" s="513"/>
    </row>
    <row r="77" spans="1:43" ht="13.1" customHeight="1">
      <c r="C77" s="513" t="s">
        <v>316</v>
      </c>
      <c r="D77" s="513"/>
    </row>
  </sheetData>
  <dataConsolidate/>
  <mergeCells count="27">
    <mergeCell ref="AQ15:AQ16"/>
    <mergeCell ref="F16:J16"/>
    <mergeCell ref="K16:O16"/>
    <mergeCell ref="P16:T16"/>
    <mergeCell ref="U16:W16"/>
    <mergeCell ref="X16:Z16"/>
    <mergeCell ref="AA16:AC16"/>
    <mergeCell ref="F15:T15"/>
    <mergeCell ref="U15:AC15"/>
    <mergeCell ref="AD15:AM15"/>
    <mergeCell ref="AD16:AH16"/>
    <mergeCell ref="AI16:AM16"/>
    <mergeCell ref="AN15:AN16"/>
    <mergeCell ref="AO15:AO16"/>
    <mergeCell ref="AP15:AP16"/>
    <mergeCell ref="B17:D18"/>
    <mergeCell ref="E17:E18"/>
    <mergeCell ref="F6:G6"/>
    <mergeCell ref="F8:G8"/>
    <mergeCell ref="F12:G12"/>
    <mergeCell ref="F10:G10"/>
    <mergeCell ref="I8:J8"/>
    <mergeCell ref="I10:J10"/>
    <mergeCell ref="I12:J12"/>
    <mergeCell ref="L8:M8"/>
    <mergeCell ref="L10:M10"/>
    <mergeCell ref="L12:M12"/>
  </mergeCells>
  <conditionalFormatting sqref="AI55 AI62 AI59 U59:V59 AD61:AD62 P62 P59 P55 K55 K59 K62 AN61:AP64 F55 F59 F61:F64 AN55:AP55 AN50:AP50 U50:V50 F50 K50 P50 AD50 AI50 X50:Y50 AA50:AB50 AN57:AP59 I20:K22 AN40:AP40 AN35:AP35 AI35 U35:V35 X35:Y35 AA35:AB35 AD35 K35 F35 AL28:AP31 AG28:AI31 S28:V31 N28:P31 I28:K31 AN24:AP24 AN26:AP27 U24:V24 U26:V27 X26:Y31 AA26:AB31 AL20:AP22 AG20:AI22 N20:P22 F20:F22 AI44 X24:Y24 AA24:AB24 F24:F31 K24:K27 P24:P27 AI24:AI27 K48 P48 P44 K44 F44 F48 AI48 AN48:AP48 AN44:AP44 F40 K40 P40 AI40 V25:V26 V51 V36 U61:V62 Y25:Y26 Y51 AB25:AB26 AB51 G25:J26 G51:J51 G36:J36 L25:O26 L51:O51 L36:O36 Q25:T26 Q51:T51 Q36:T36 G61:T61 F57:V58 G63:V64 W24:W31 W50:W51 W35:W36 Z24:Z31 Z50:Z51 Z35:Z36 S20:AD22 U48:AD48 AC24:AD31 AC50:AC51 AC35:AC36 U44:AD44 W57:AD59 W61:AC64 U40:AD40 U55:AD55 AE25:AH26 AE51:AH51 AE36:AH36 AJ25:AM26 AJ51:AM51 AJ36:AM36 AD63:AM64 F53:AP53 F68:AQ69 AE61:AM61 AE57:AM58 AN38:AP38 F38 K38 P38 AI38 U38:AD38 AN42:AP42 F42 K42 P42 AI42 U42:AD42 G39:J39 L39:O39 Q39:T39 V39:W39 Y39:Z39 AB39:AC39 AE39:AH39 AJ39:AM39 G43:J43 L43:O43 Q43:T43 V43:W43 Y43:Z43 AB43:AC43 AE43:AH43 AJ43:AM43 AN46:AP46 AI46 K46 F46 U46:AD46 G47:J47 L47:O47 Q47:T47 V47:W47 Y47:Z47 AB47:AC47 AE47:AH47 AJ47:AM47 G54:J54 L54:O54 Q54:T54 V54:W54 Y54:Z54 AB54:AC54 AE54:AH54 AJ54:AM54 Y36 AB36">
    <cfRule type="cellIs" dxfId="1" priority="71" stopIfTrue="1" operator="lessThan">
      <formula>0</formula>
    </cfRule>
  </conditionalFormatting>
  <pageMargins left="0.2" right="0.2" top="0.35" bottom="0.25" header="0.2" footer="0.2"/>
  <pageSetup paperSize="5" scale="37" fitToWidth="2" fitToHeight="0" pageOrder="overThenDown" orientation="landscape" cellComments="asDisplayed" r:id="rId1"/>
  <headerFooter alignWithMargins="0">
    <oddFooter>&amp;L&amp;F &amp;C Page &amp;P of &amp;N&amp;R[&amp;A]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pageSetUpPr autoPageBreaks="0"/>
  </sheetPr>
  <dimension ref="A1:AJ57"/>
  <sheetViews>
    <sheetView topLeftCell="B10" zoomScale="80" zoomScaleNormal="80" workbookViewId="0">
      <pane xSplit="3" ySplit="4" topLeftCell="E14" activePane="bottomRight" state="frozen"/>
      <selection activeCell="B10" sqref="B10"/>
      <selection pane="topRight" activeCell="E10" sqref="E10"/>
      <selection pane="bottomLeft" activeCell="B14" sqref="B14"/>
      <selection pane="bottomRight" activeCell="E14" sqref="E14"/>
    </sheetView>
  </sheetViews>
  <sheetFormatPr defaultColWidth="9.25" defaultRowHeight="12.45"/>
  <cols>
    <col min="1" max="1" width="1.75" style="27" customWidth="1"/>
    <col min="2" max="2" width="3.375" style="6" customWidth="1"/>
    <col min="3" max="3" width="5.25" style="6" customWidth="1"/>
    <col min="4" max="4" width="66.75" style="6" customWidth="1"/>
    <col min="5" max="13" width="13" style="6" customWidth="1"/>
    <col min="14" max="14" width="13" style="5" customWidth="1"/>
    <col min="15" max="36" width="13" style="6" customWidth="1"/>
    <col min="37" max="16384" width="9.25" style="6"/>
  </cols>
  <sheetData>
    <row r="1" spans="1:36" ht="13.1">
      <c r="B1" s="47" t="s">
        <v>0</v>
      </c>
      <c r="C1" s="467"/>
      <c r="D1" s="467"/>
      <c r="E1" s="465"/>
      <c r="F1" s="48"/>
      <c r="G1" s="48"/>
      <c r="H1" s="467"/>
      <c r="I1" s="48"/>
      <c r="J1" s="47"/>
      <c r="K1" s="467"/>
      <c r="L1" s="48"/>
      <c r="M1" s="467"/>
      <c r="N1" s="49"/>
      <c r="O1" s="49"/>
      <c r="P1" s="49"/>
      <c r="Q1" s="49"/>
      <c r="R1" s="49"/>
      <c r="S1" s="49"/>
      <c r="T1" s="49"/>
      <c r="U1" s="49"/>
      <c r="V1" s="49"/>
      <c r="W1" s="49"/>
      <c r="X1" s="49"/>
      <c r="Y1" s="49"/>
      <c r="Z1" s="49"/>
      <c r="AA1" s="49"/>
      <c r="AB1" s="49"/>
      <c r="AC1" s="49"/>
      <c r="AD1" s="49"/>
      <c r="AE1" s="49"/>
      <c r="AF1" s="49"/>
      <c r="AG1" s="49"/>
      <c r="AH1" s="49"/>
      <c r="AI1" s="49"/>
    </row>
    <row r="2" spans="1:36" ht="13.1">
      <c r="B2" s="1" t="s">
        <v>317</v>
      </c>
      <c r="C2" s="467"/>
      <c r="D2" s="467"/>
      <c r="E2" s="465"/>
      <c r="F2" s="579" t="s">
        <v>312</v>
      </c>
      <c r="G2" s="579"/>
      <c r="H2" s="467"/>
      <c r="I2" s="579" t="s">
        <v>312</v>
      </c>
      <c r="J2" s="579"/>
      <c r="K2" s="467"/>
      <c r="L2" s="48"/>
      <c r="M2" s="467"/>
    </row>
    <row r="3" spans="1:36" ht="13.1">
      <c r="B3" s="47" t="s">
        <v>132</v>
      </c>
      <c r="C3" s="467"/>
      <c r="D3" s="467"/>
      <c r="E3" s="465"/>
      <c r="F3" s="48"/>
      <c r="G3" s="48"/>
      <c r="H3" s="467"/>
      <c r="I3" s="48"/>
      <c r="J3" s="48"/>
      <c r="K3" s="467"/>
      <c r="L3" s="467" t="s">
        <v>122</v>
      </c>
      <c r="M3" s="467"/>
      <c r="P3" s="5"/>
    </row>
    <row r="4" spans="1:36" ht="13.1">
      <c r="B4" s="47"/>
      <c r="C4" s="467"/>
      <c r="D4" s="467"/>
      <c r="E4" s="465"/>
      <c r="F4" s="579" t="s">
        <v>312</v>
      </c>
      <c r="G4" s="579"/>
      <c r="H4" s="467"/>
      <c r="I4" s="579" t="s">
        <v>312</v>
      </c>
      <c r="J4" s="579"/>
      <c r="K4" s="467"/>
      <c r="L4" s="581" t="str">
        <f>'Pt 1 - Summary of Data'!$L$8</f>
        <v>No</v>
      </c>
      <c r="M4" s="580"/>
      <c r="P4" s="5"/>
    </row>
    <row r="5" spans="1:36">
      <c r="B5" s="468"/>
      <c r="C5" s="467"/>
      <c r="D5" s="467"/>
      <c r="E5" s="468"/>
      <c r="F5" s="469"/>
      <c r="G5" s="469"/>
      <c r="H5" s="467"/>
      <c r="I5" s="49" t="s">
        <v>51</v>
      </c>
      <c r="J5" s="49"/>
      <c r="K5" s="467"/>
      <c r="L5" s="467"/>
      <c r="M5" s="467"/>
      <c r="N5" s="6"/>
    </row>
    <row r="6" spans="1:36">
      <c r="B6" s="583" t="s">
        <v>312</v>
      </c>
      <c r="C6" s="583"/>
      <c r="D6" s="583"/>
      <c r="E6" s="467"/>
      <c r="F6" s="580" t="s">
        <v>312</v>
      </c>
      <c r="G6" s="580"/>
      <c r="H6" s="470"/>
      <c r="I6" s="579" t="str">
        <f>IF(ISBLANK('Pt 1 - Summary of Data'!$I$10),"",'Pt 1 - Summary of Data'!$I$10)</f>
        <v/>
      </c>
      <c r="J6" s="579"/>
      <c r="K6" s="467"/>
      <c r="L6" s="580" t="s">
        <v>312</v>
      </c>
      <c r="M6" s="580"/>
      <c r="N6" s="6"/>
    </row>
    <row r="7" spans="1:36">
      <c r="B7" s="468"/>
      <c r="C7" s="467"/>
      <c r="D7" s="467"/>
      <c r="E7" s="467"/>
      <c r="F7" s="469"/>
      <c r="G7" s="469"/>
      <c r="H7" s="467"/>
      <c r="I7" s="467"/>
      <c r="J7" s="469"/>
      <c r="K7" s="467"/>
      <c r="L7" s="52" t="s">
        <v>105</v>
      </c>
      <c r="M7" s="467"/>
      <c r="N7" s="6"/>
    </row>
    <row r="8" spans="1:36" ht="13.1">
      <c r="B8" s="583" t="s">
        <v>312</v>
      </c>
      <c r="C8" s="583"/>
      <c r="D8" s="583"/>
      <c r="E8" s="467"/>
      <c r="F8" s="580" t="s">
        <v>312</v>
      </c>
      <c r="G8" s="580"/>
      <c r="H8" s="467"/>
      <c r="I8" s="582" t="s">
        <v>312</v>
      </c>
      <c r="J8" s="582"/>
      <c r="K8" s="467"/>
      <c r="L8" s="584">
        <f>'Pt 1 - Summary of Data'!$L$12</f>
        <v>2012</v>
      </c>
      <c r="M8" s="585"/>
      <c r="N8" s="11"/>
    </row>
    <row r="9" spans="1:36" s="27" customFormat="1" ht="13.1" thickBot="1">
      <c r="B9" s="53"/>
      <c r="C9" s="53"/>
      <c r="D9" s="53"/>
      <c r="E9" s="53"/>
      <c r="F9" s="53"/>
      <c r="G9" s="53"/>
      <c r="H9" s="53"/>
      <c r="I9" s="53"/>
      <c r="J9" s="53"/>
      <c r="K9" s="53"/>
      <c r="L9" s="53"/>
      <c r="M9" s="53"/>
      <c r="N9" s="53"/>
      <c r="O9" s="53"/>
      <c r="P9" s="53"/>
      <c r="Q9" s="53"/>
      <c r="R9" s="53"/>
      <c r="S9" s="53"/>
      <c r="T9" s="53"/>
      <c r="U9" s="53"/>
      <c r="V9" s="53"/>
      <c r="W9" s="53"/>
      <c r="X9" s="53"/>
      <c r="Y9" s="53"/>
      <c r="Z9" s="5"/>
      <c r="AA9" s="5"/>
      <c r="AB9" s="5"/>
      <c r="AC9" s="5"/>
      <c r="AD9" s="5"/>
      <c r="AE9" s="5"/>
      <c r="AF9" s="5"/>
      <c r="AG9" s="5"/>
      <c r="AH9" s="5"/>
      <c r="AI9" s="5"/>
    </row>
    <row r="10" spans="1:36" ht="13.75" thickBot="1">
      <c r="E10" s="588" t="s">
        <v>123</v>
      </c>
      <c r="F10" s="589"/>
      <c r="G10" s="589"/>
      <c r="H10" s="589"/>
      <c r="I10" s="589"/>
      <c r="J10" s="589"/>
      <c r="K10" s="589"/>
      <c r="L10" s="589"/>
      <c r="M10" s="589"/>
      <c r="N10" s="589"/>
      <c r="O10" s="589"/>
      <c r="P10" s="590"/>
      <c r="Q10" s="588" t="s">
        <v>66</v>
      </c>
      <c r="R10" s="589"/>
      <c r="S10" s="589"/>
      <c r="T10" s="589"/>
      <c r="U10" s="589"/>
      <c r="V10" s="589"/>
      <c r="W10" s="589"/>
      <c r="X10" s="589"/>
      <c r="Y10" s="589"/>
      <c r="Z10" s="589"/>
      <c r="AA10" s="589"/>
      <c r="AB10" s="590"/>
      <c r="AC10" s="588" t="s">
        <v>52</v>
      </c>
      <c r="AD10" s="589"/>
      <c r="AE10" s="589"/>
      <c r="AF10" s="589"/>
      <c r="AG10" s="589"/>
      <c r="AH10" s="589"/>
      <c r="AI10" s="589"/>
      <c r="AJ10" s="590"/>
    </row>
    <row r="11" spans="1:36" ht="13.75" thickBot="1">
      <c r="C11" s="3"/>
      <c r="E11" s="591" t="s">
        <v>43</v>
      </c>
      <c r="F11" s="589"/>
      <c r="G11" s="589"/>
      <c r="H11" s="590"/>
      <c r="I11" s="591" t="s">
        <v>44</v>
      </c>
      <c r="J11" s="592"/>
      <c r="K11" s="592"/>
      <c r="L11" s="593"/>
      <c r="M11" s="591" t="s">
        <v>45</v>
      </c>
      <c r="N11" s="589"/>
      <c r="O11" s="589"/>
      <c r="P11" s="590"/>
      <c r="Q11" s="591" t="s">
        <v>43</v>
      </c>
      <c r="R11" s="589"/>
      <c r="S11" s="589"/>
      <c r="T11" s="590"/>
      <c r="U11" s="591" t="s">
        <v>44</v>
      </c>
      <c r="V11" s="592"/>
      <c r="W11" s="592"/>
      <c r="X11" s="593"/>
      <c r="Y11" s="591" t="s">
        <v>45</v>
      </c>
      <c r="Z11" s="589"/>
      <c r="AA11" s="589"/>
      <c r="AB11" s="590"/>
      <c r="AC11" s="591" t="s">
        <v>44</v>
      </c>
      <c r="AD11" s="589"/>
      <c r="AE11" s="589"/>
      <c r="AF11" s="590"/>
      <c r="AG11" s="591" t="s">
        <v>45</v>
      </c>
      <c r="AH11" s="592"/>
      <c r="AI11" s="592"/>
      <c r="AJ11" s="593"/>
    </row>
    <row r="12" spans="1:36" ht="42.05" customHeight="1" thickBot="1">
      <c r="A12" s="43"/>
      <c r="B12" s="559" t="s">
        <v>320</v>
      </c>
      <c r="C12" s="560"/>
      <c r="D12" s="561"/>
      <c r="E12" s="112" t="s">
        <v>53</v>
      </c>
      <c r="F12" s="113" t="s">
        <v>54</v>
      </c>
      <c r="G12" s="113" t="s">
        <v>41</v>
      </c>
      <c r="H12" s="114" t="s">
        <v>138</v>
      </c>
      <c r="I12" s="112" t="s">
        <v>53</v>
      </c>
      <c r="J12" s="113" t="s">
        <v>54</v>
      </c>
      <c r="K12" s="113" t="s">
        <v>41</v>
      </c>
      <c r="L12" s="114" t="s">
        <v>139</v>
      </c>
      <c r="M12" s="112" t="s">
        <v>53</v>
      </c>
      <c r="N12" s="113" t="s">
        <v>54</v>
      </c>
      <c r="O12" s="113" t="s">
        <v>41</v>
      </c>
      <c r="P12" s="114" t="s">
        <v>139</v>
      </c>
      <c r="Q12" s="112" t="s">
        <v>53</v>
      </c>
      <c r="R12" s="113" t="s">
        <v>54</v>
      </c>
      <c r="S12" s="113" t="s">
        <v>41</v>
      </c>
      <c r="T12" s="114" t="s">
        <v>138</v>
      </c>
      <c r="U12" s="112" t="s">
        <v>53</v>
      </c>
      <c r="V12" s="113" t="s">
        <v>54</v>
      </c>
      <c r="W12" s="113" t="s">
        <v>41</v>
      </c>
      <c r="X12" s="114" t="s">
        <v>139</v>
      </c>
      <c r="Y12" s="112" t="s">
        <v>53</v>
      </c>
      <c r="Z12" s="113" t="s">
        <v>54</v>
      </c>
      <c r="AA12" s="113" t="s">
        <v>41</v>
      </c>
      <c r="AB12" s="114" t="s">
        <v>139</v>
      </c>
      <c r="AC12" s="112" t="s">
        <v>53</v>
      </c>
      <c r="AD12" s="113" t="s">
        <v>54</v>
      </c>
      <c r="AE12" s="113" t="s">
        <v>41</v>
      </c>
      <c r="AF12" s="114" t="s">
        <v>138</v>
      </c>
      <c r="AG12" s="112" t="s">
        <v>53</v>
      </c>
      <c r="AH12" s="113" t="s">
        <v>54</v>
      </c>
      <c r="AI12" s="113" t="s">
        <v>41</v>
      </c>
      <c r="AJ12" s="114" t="s">
        <v>139</v>
      </c>
    </row>
    <row r="13" spans="1:36" s="27" customFormat="1" ht="13.1" thickBot="1">
      <c r="B13" s="562"/>
      <c r="C13" s="563"/>
      <c r="D13" s="563"/>
      <c r="E13" s="164">
        <v>1</v>
      </c>
      <c r="F13" s="165">
        <v>2</v>
      </c>
      <c r="G13" s="165">
        <v>3</v>
      </c>
      <c r="H13" s="166">
        <v>4</v>
      </c>
      <c r="I13" s="164">
        <v>5</v>
      </c>
      <c r="J13" s="165">
        <v>6</v>
      </c>
      <c r="K13" s="165">
        <v>7</v>
      </c>
      <c r="L13" s="166">
        <v>8</v>
      </c>
      <c r="M13" s="164">
        <v>9</v>
      </c>
      <c r="N13" s="165">
        <v>10</v>
      </c>
      <c r="O13" s="165">
        <v>11</v>
      </c>
      <c r="P13" s="166">
        <v>12</v>
      </c>
      <c r="Q13" s="167">
        <v>13</v>
      </c>
      <c r="R13" s="168">
        <v>14</v>
      </c>
      <c r="S13" s="168">
        <v>15</v>
      </c>
      <c r="T13" s="169">
        <v>16</v>
      </c>
      <c r="U13" s="170">
        <v>17</v>
      </c>
      <c r="V13" s="168">
        <v>18</v>
      </c>
      <c r="W13" s="171">
        <v>19</v>
      </c>
      <c r="X13" s="167">
        <v>20</v>
      </c>
      <c r="Y13" s="164">
        <v>21</v>
      </c>
      <c r="Z13" s="165">
        <v>22</v>
      </c>
      <c r="AA13" s="165">
        <v>23</v>
      </c>
      <c r="AB13" s="166">
        <v>24</v>
      </c>
      <c r="AC13" s="164">
        <v>25</v>
      </c>
      <c r="AD13" s="165">
        <v>26</v>
      </c>
      <c r="AE13" s="165">
        <v>27</v>
      </c>
      <c r="AF13" s="166">
        <v>28</v>
      </c>
      <c r="AG13" s="164">
        <v>29</v>
      </c>
      <c r="AH13" s="165">
        <v>30</v>
      </c>
      <c r="AI13" s="172">
        <v>31</v>
      </c>
      <c r="AJ13" s="166">
        <v>32</v>
      </c>
    </row>
    <row r="14" spans="1:36">
      <c r="B14" s="30" t="s">
        <v>1</v>
      </c>
      <c r="C14" s="32" t="s">
        <v>81</v>
      </c>
      <c r="D14" s="29"/>
      <c r="E14" s="348"/>
      <c r="F14" s="349"/>
      <c r="G14" s="325"/>
      <c r="H14" s="329"/>
      <c r="I14" s="348"/>
      <c r="J14" s="349"/>
      <c r="K14" s="325"/>
      <c r="L14" s="329"/>
      <c r="M14" s="348"/>
      <c r="N14" s="349"/>
      <c r="O14" s="325"/>
      <c r="P14" s="329"/>
      <c r="Q14" s="350"/>
      <c r="R14" s="351"/>
      <c r="S14" s="352"/>
      <c r="T14" s="353"/>
      <c r="U14" s="350"/>
      <c r="V14" s="351"/>
      <c r="W14" s="352"/>
      <c r="X14" s="354"/>
      <c r="Y14" s="348"/>
      <c r="Z14" s="349"/>
      <c r="AA14" s="325"/>
      <c r="AB14" s="329"/>
      <c r="AC14" s="348"/>
      <c r="AD14" s="349"/>
      <c r="AE14" s="325"/>
      <c r="AF14" s="329"/>
      <c r="AG14" s="348"/>
      <c r="AH14" s="349"/>
      <c r="AI14" s="325"/>
      <c r="AJ14" s="329"/>
    </row>
    <row r="15" spans="1:36" s="27" customFormat="1">
      <c r="B15" s="36"/>
      <c r="C15" s="16">
        <v>1.1000000000000001</v>
      </c>
      <c r="D15" s="33" t="s">
        <v>151</v>
      </c>
      <c r="E15" s="286"/>
      <c r="F15" s="70"/>
      <c r="G15" s="287"/>
      <c r="H15" s="259"/>
      <c r="I15" s="257"/>
      <c r="J15" s="70"/>
      <c r="K15" s="258"/>
      <c r="L15" s="259"/>
      <c r="M15" s="257"/>
      <c r="N15" s="70"/>
      <c r="O15" s="258"/>
      <c r="P15" s="259"/>
      <c r="Q15" s="257"/>
      <c r="R15" s="70"/>
      <c r="S15" s="258"/>
      <c r="T15" s="259"/>
      <c r="U15" s="257"/>
      <c r="V15" s="70"/>
      <c r="W15" s="258"/>
      <c r="X15" s="258"/>
      <c r="Y15" s="257"/>
      <c r="Z15" s="70"/>
      <c r="AA15" s="258"/>
      <c r="AB15" s="259"/>
      <c r="AC15" s="257"/>
      <c r="AD15" s="70"/>
      <c r="AE15" s="258"/>
      <c r="AF15" s="259"/>
      <c r="AG15" s="257"/>
      <c r="AH15" s="70"/>
      <c r="AI15" s="258"/>
      <c r="AJ15" s="259"/>
    </row>
    <row r="16" spans="1:36" s="27" customFormat="1" ht="24.9">
      <c r="B16" s="36"/>
      <c r="C16" s="16">
        <v>1.2</v>
      </c>
      <c r="D16" s="34" t="s">
        <v>182</v>
      </c>
      <c r="E16" s="257"/>
      <c r="F16" s="70"/>
      <c r="G16" s="260">
        <f>('Pt 2 - Premium and Claims'!G$36+'Pt 2 - Premium and Claims'!G$39+'Pt 2 - Premium and Claims'!G$43+'Pt 2 - Premium and Claims'!G$47-'Pt 2 - Premium and Claims'!G$48+'Pt 2 - Premium and Claims'!G$51+'Pt 2 - Premium and Claims'!G$54+'Pt 2 - Premium and Claims'!G$57+'Pt 2 - Premium and Claims'!G$58-'Pt 2 - Premium and Claims'!G$61+'Pt 2 - Premium and Claims'!G$63+'Pt 2 - Premium and Claims'!G$64+'Pt 2 - Premium and Claims'!G$65+MIN('Pt 2 - Premium and Claims'!G$68:G$69))+('Pt 2 - Premium and Claims'!I$36+'Pt 2 - Premium and Claims'!I$39+'Pt 2 - Premium and Claims'!I$43+'Pt 2 - Premium and Claims'!I$47-'Pt 2 - Premium and Claims'!I$48+'Pt 2 - Premium and Claims'!I$51+'Pt 2 - Premium and Claims'!I$54+'Pt 2 - Premium and Claims'!I$57+'Pt 2 - Premium and Claims'!I$58-'Pt 2 - Premium and Claims'!I$61+'Pt 2 - Premium and Claims'!I$63+'Pt 2 - Premium and Claims'!I$64+'Pt 2 - Premium and Claims'!I$65+MIN('Pt 2 - Premium and Claims'!I$68:I$69))-('Pt 2 - Premium and Claims'!J$36+'Pt 2 - Premium and Claims'!J$39+'Pt 2 - Premium and Claims'!J$43+'Pt 2 - Premium and Claims'!J$47-'Pt 2 - Premium and Claims'!J$48+'Pt 2 - Premium and Claims'!J$51+'Pt 2 - Premium and Claims'!J$54+'Pt 2 - Premium and Claims'!J$57+'Pt 2 - Premium and Claims'!J$58-'Pt 2 - Premium and Claims'!J$61+'Pt 2 - Premium and Claims'!J$63+'Pt 2 - Premium and Claims'!J$64+'Pt 2 - Premium and Claims'!J$65+MIN('Pt 2 - Premium and Claims'!J$68:J$69))</f>
        <v>0</v>
      </c>
      <c r="H16" s="261">
        <f>IF(G$28&lt;75000,F16+G16,G16)</f>
        <v>0</v>
      </c>
      <c r="I16" s="257"/>
      <c r="J16" s="70"/>
      <c r="K16" s="260">
        <f>('Pt 2 - Premium and Claims'!L$36+'Pt 2 - Premium and Claims'!L$39+'Pt 2 - Premium and Claims'!L$43+'Pt 2 - Premium and Claims'!L$47-'Pt 2 - Premium and Claims'!L$48+'Pt 2 - Premium and Claims'!L$51+'Pt 2 - Premium and Claims'!L$54+'Pt 2 - Premium and Claims'!L$57+'Pt 2 - Premium and Claims'!L$58-'Pt 2 - Premium and Claims'!L$61+'Pt 2 - Premium and Claims'!L$63+'Pt 2 - Premium and Claims'!L$64+'Pt 2 - Premium and Claims'!L$65+MIN('Pt 2 - Premium and Claims'!L$68:L$69))+('Pt 2 - Premium and Claims'!N$36+'Pt 2 - Premium and Claims'!N$39+'Pt 2 - Premium and Claims'!N$43+'Pt 2 - Premium and Claims'!N$47-'Pt 2 - Premium and Claims'!N$48+'Pt 2 - Premium and Claims'!N$51+'Pt 2 - Premium and Claims'!N$54+'Pt 2 - Premium and Claims'!N$57+'Pt 2 - Premium and Claims'!N$58-'Pt 2 - Premium and Claims'!N$61+'Pt 2 - Premium and Claims'!N$63+'Pt 2 - Premium and Claims'!N$64+'Pt 2 - Premium and Claims'!N$65+MIN('Pt 2 - Premium and Claims'!N$68:N$69))-('Pt 2 - Premium and Claims'!O$36+'Pt 2 - Premium and Claims'!O$39+'Pt 2 - Premium and Claims'!O$43+'Pt 2 - Premium and Claims'!O$47-'Pt 2 - Premium and Claims'!O$48+'Pt 2 - Premium and Claims'!O$51+'Pt 2 - Premium and Claims'!O$54+'Pt 2 - Premium and Claims'!O$57+'Pt 2 - Premium and Claims'!O$58-'Pt 2 - Premium and Claims'!O$61+'Pt 2 - Premium and Claims'!O$63+'Pt 2 - Premium and Claims'!O$64+'Pt 2 - Premium and Claims'!O$65+MIN('Pt 2 - Premium and Claims'!O$68:O$69))</f>
        <v>0</v>
      </c>
      <c r="L16" s="261">
        <f>IF(K$28&lt;75000,J16+K16,K16)</f>
        <v>0</v>
      </c>
      <c r="M16" s="257"/>
      <c r="N16" s="70"/>
      <c r="O16" s="260">
        <f>('Pt 2 - Premium and Claims'!Q$36+'Pt 2 - Premium and Claims'!Q$39+'Pt 2 - Premium and Claims'!Q$43+'Pt 2 - Premium and Claims'!Q$47-'Pt 2 - Premium and Claims'!Q$48+'Pt 2 - Premium and Claims'!Q$51+'Pt 2 - Premium and Claims'!Q$54+'Pt 2 - Premium and Claims'!Q$57+'Pt 2 - Premium and Claims'!Q$58-'Pt 2 - Premium and Claims'!Q$61+'Pt 2 - Premium and Claims'!Q$63+'Pt 2 - Premium and Claims'!Q$64+'Pt 2 - Premium and Claims'!Q$65+MIN('Pt 2 - Premium and Claims'!Q$68:Q$69))+('Pt 2 - Premium and Claims'!S$36+'Pt 2 - Premium and Claims'!S$39+'Pt 2 - Premium and Claims'!S$43+'Pt 2 - Premium and Claims'!S$47-'Pt 2 - Premium and Claims'!S$48+'Pt 2 - Premium and Claims'!S$51+'Pt 2 - Premium and Claims'!S$54+'Pt 2 - Premium and Claims'!S$57+'Pt 2 - Premium and Claims'!S$58-'Pt 2 - Premium and Claims'!S$61+'Pt 2 - Premium and Claims'!S$63+'Pt 2 - Premium and Claims'!S$64+'Pt 2 - Premium and Claims'!S$65+MIN('Pt 2 - Premium and Claims'!S$68:S$69))-('Pt 2 - Premium and Claims'!T$36+'Pt 2 - Premium and Claims'!T$39+'Pt 2 - Premium and Claims'!T$43+'Pt 2 - Premium and Claims'!T$47-'Pt 2 - Premium and Claims'!T$48+'Pt 2 - Premium and Claims'!T$51+'Pt 2 - Premium and Claims'!T$54+'Pt 2 - Premium and Claims'!T$57+'Pt 2 - Premium and Claims'!T$58-'Pt 2 - Premium and Claims'!T$61+'Pt 2 - Premium and Claims'!T$63+'Pt 2 - Premium and Claims'!T$64+'Pt 2 - Premium and Claims'!T$65+MIN('Pt 2 - Premium and Claims'!T$68:T$69))</f>
        <v>0</v>
      </c>
      <c r="P16" s="261">
        <f>IF(O$28&lt;75000,N16+O16,O16)</f>
        <v>0</v>
      </c>
      <c r="Q16" s="257"/>
      <c r="R16" s="70"/>
      <c r="S16" s="260">
        <f>'Pt 2 - Premium and Claims'!V$36+'Pt 2 - Premium and Claims'!V$39+'Pt 2 - Premium and Claims'!V$43+'Pt 2 - Premium and Claims'!V$47-'Pt 2 - Premium and Claims'!V$48+'Pt 2 - Premium and Claims'!V$51+'Pt 2 - Premium and Claims'!V$54+'Pt 2 - Premium and Claims'!V$57+'Pt 2 - Premium and Claims'!V$58-'Pt 2 - Premium and Claims'!V$61+'Pt 2 - Premium and Claims'!V$63+'Pt 2 - Premium and Claims'!V$64+'Pt 2 - Premium and Claims'!V$65+MIN('Pt 2 - Premium and Claims'!V$68:V$69)</f>
        <v>0</v>
      </c>
      <c r="T16" s="261">
        <f>IF(S$28&lt;75000,R16+S16,S16)</f>
        <v>0</v>
      </c>
      <c r="U16" s="257"/>
      <c r="V16" s="70"/>
      <c r="W16" s="260">
        <f>'Pt 2 - Premium and Claims'!Y$36+'Pt 2 - Premium and Claims'!Y$39+'Pt 2 - Premium and Claims'!Y$43+'Pt 2 - Premium and Claims'!Y$47-'Pt 2 - Premium and Claims'!Y$48+'Pt 2 - Premium and Claims'!Y$51+'Pt 2 - Premium and Claims'!Y$54+'Pt 2 - Premium and Claims'!Y$57+'Pt 2 - Premium and Claims'!Y$58-'Pt 2 - Premium and Claims'!Y$61+'Pt 2 - Premium and Claims'!Y$63+'Pt 2 - Premium and Claims'!Y$64+'Pt 2 - Premium and Claims'!Y$65+MIN('Pt 2 - Premium and Claims'!Y$68:Y$69)</f>
        <v>0</v>
      </c>
      <c r="X16" s="262">
        <f>IF(W$28&lt;75000,V16+W16,W16)</f>
        <v>0</v>
      </c>
      <c r="Y16" s="257"/>
      <c r="Z16" s="70"/>
      <c r="AA16" s="260">
        <f>'Pt 2 - Premium and Claims'!AB$36+'Pt 2 - Premium and Claims'!AB$39+'Pt 2 - Premium and Claims'!AB$43+'Pt 2 - Premium and Claims'!AB$47-'Pt 2 - Premium and Claims'!AB$48+'Pt 2 - Premium and Claims'!AB$51+'Pt 2 - Premium and Claims'!AB$54+'Pt 2 - Premium and Claims'!AB$57+'Pt 2 - Premium and Claims'!AB$58-'Pt 2 - Premium and Claims'!AB$61+'Pt 2 - Premium and Claims'!AB$63+'Pt 2 - Premium and Claims'!AB$64+'Pt 2 - Premium and Claims'!AB$65+MIN('Pt 2 - Premium and Claims'!AB$68:AB$69)</f>
        <v>0</v>
      </c>
      <c r="AB16" s="261">
        <f>IF(AA$28&lt;75000,Z16+AA16,AA16)</f>
        <v>0</v>
      </c>
      <c r="AC16" s="257"/>
      <c r="AD16" s="70"/>
      <c r="AE16" s="260">
        <f>('Pt 2 - Premium and Claims'!AE$36+'Pt 2 - Premium and Claims'!AE$39+'Pt 2 - Premium and Claims'!AE$43+'Pt 2 - Premium and Claims'!AE$47-'Pt 2 - Premium and Claims'!AE$48+'Pt 2 - Premium and Claims'!AE$51+'Pt 2 - Premium and Claims'!AE$54+'Pt 2 - Premium and Claims'!AE$57+'Pt 2 - Premium and Claims'!AE$58-'Pt 2 - Premium and Claims'!AE$61+'Pt 2 - Premium and Claims'!AE$63+'Pt 2 - Premium and Claims'!AE$64+'Pt 2 - Premium and Claims'!AE$65+MIN('Pt 2 - Premium and Claims'!AE$68:AE$69))+('Pt 2 - Premium and Claims'!AG$36+'Pt 2 - Premium and Claims'!AG$39+'Pt 2 - Premium and Claims'!AG$43+'Pt 2 - Premium and Claims'!AG$47-'Pt 2 - Premium and Claims'!AG$48+'Pt 2 - Premium and Claims'!AG$51+'Pt 2 - Premium and Claims'!AG$54+'Pt 2 - Premium and Claims'!AG$57+'Pt 2 - Premium and Claims'!AG$58-'Pt 2 - Premium and Claims'!AG$61+'Pt 2 - Premium and Claims'!AG$63+'Pt 2 - Premium and Claims'!AG$64+'Pt 2 - Premium and Claims'!AG$65+MIN('Pt 2 - Premium and Claims'!AG$68:AG$69))-('Pt 2 - Premium and Claims'!AH$36+'Pt 2 - Premium and Claims'!AH$39+'Pt 2 - Premium and Claims'!AH$43+'Pt 2 - Premium and Claims'!AH$47-'Pt 2 - Premium and Claims'!AH$48+'Pt 2 - Premium and Claims'!AH$51+'Pt 2 - Premium and Claims'!AH$54+'Pt 2 - Premium and Claims'!AH$57+'Pt 2 - Premium and Claims'!AH$58-'Pt 2 - Premium and Claims'!AH$61+'Pt 2 - Premium and Claims'!AH$63+'Pt 2 - Premium and Claims'!AH$64+'Pt 2 - Premium and Claims'!AH$65+MIN('Pt 2 - Premium and Claims'!AH$68:AH$69))</f>
        <v>0</v>
      </c>
      <c r="AF16" s="261">
        <f>IF(AE$28&lt;75000,AD16+AE16,AE16)</f>
        <v>0</v>
      </c>
      <c r="AG16" s="257"/>
      <c r="AH16" s="70"/>
      <c r="AI16" s="260">
        <f>('Pt 2 - Premium and Claims'!AJ$36+'Pt 2 - Premium and Claims'!AJ$39+'Pt 2 - Premium and Claims'!AJ$43+'Pt 2 - Premium and Claims'!AJ$47-'Pt 2 - Premium and Claims'!AJ$48+'Pt 2 - Premium and Claims'!AJ$51+'Pt 2 - Premium and Claims'!AJ$54+'Pt 2 - Premium and Claims'!AJ$57+'Pt 2 - Premium and Claims'!AJ$58-'Pt 2 - Premium and Claims'!AJ$61+'Pt 2 - Premium and Claims'!AJ$63+'Pt 2 - Premium and Claims'!AJ$64+'Pt 2 - Premium and Claims'!AJ$65+MIN('Pt 2 - Premium and Claims'!AJ$68:AJ$69))+('Pt 2 - Premium and Claims'!AL$36+'Pt 2 - Premium and Claims'!AL$39+'Pt 2 - Premium and Claims'!AL$43+'Pt 2 - Premium and Claims'!AL$47-'Pt 2 - Premium and Claims'!AL$48+'Pt 2 - Premium and Claims'!AL$51+'Pt 2 - Premium and Claims'!AL$54+'Pt 2 - Premium and Claims'!AL$57+'Pt 2 - Premium and Claims'!AL$58-'Pt 2 - Premium and Claims'!AL$61+'Pt 2 - Premium and Claims'!AL$63+'Pt 2 - Premium and Claims'!AL$64+'Pt 2 - Premium and Claims'!AL$65+MIN('Pt 2 - Premium and Claims'!AL$68:AL$69))-('Pt 2 - Premium and Claims'!AM$36+'Pt 2 - Premium and Claims'!AM$39+'Pt 2 - Premium and Claims'!AM$43+'Pt 2 - Premium and Claims'!AM$47-'Pt 2 - Premium and Claims'!AM$48+'Pt 2 - Premium and Claims'!AM$51+'Pt 2 - Premium and Claims'!AM$54+'Pt 2 - Premium and Claims'!AM$57+'Pt 2 - Premium and Claims'!AM$58-'Pt 2 - Premium and Claims'!AM$61+'Pt 2 - Premium and Claims'!AM$63+'Pt 2 - Premium and Claims'!AM$64+'Pt 2 - Premium and Claims'!AM$65+MIN('Pt 2 - Premium and Claims'!AM$68:AM$69))</f>
        <v>0</v>
      </c>
      <c r="AJ16" s="261">
        <f>IF(AI$28&lt;75000,AH16+AI16,AI16)</f>
        <v>0</v>
      </c>
    </row>
    <row r="17" spans="1:36">
      <c r="B17" s="31"/>
      <c r="C17" s="16">
        <v>1.3</v>
      </c>
      <c r="D17" s="34" t="s">
        <v>166</v>
      </c>
      <c r="E17" s="286"/>
      <c r="F17" s="70"/>
      <c r="G17" s="153">
        <f>SUM('Pt 1 - Summary of Data'!G$50:G$55)+SUM('Pt 1 - Summary of Data'!I$50:I$55)-SUM('Pt 1 - Summary of Data'!J$50:J$55)</f>
        <v>0</v>
      </c>
      <c r="H17" s="263">
        <f t="shared" ref="H17" si="0">IF(G$28&lt;75000,F17+G17,G17)</f>
        <v>0</v>
      </c>
      <c r="I17" s="286"/>
      <c r="J17" s="70"/>
      <c r="K17" s="153">
        <f>SUM('Pt 1 - Summary of Data'!L$50:L$55)+SUM('Pt 1 - Summary of Data'!N$50:N$55)-SUM('Pt 1 - Summary of Data'!O$50:O$55)</f>
        <v>0</v>
      </c>
      <c r="L17" s="263">
        <f t="shared" ref="L17" si="1">IF(K$28&lt;75000,J17+K17,K17)</f>
        <v>0</v>
      </c>
      <c r="M17" s="286"/>
      <c r="N17" s="70"/>
      <c r="O17" s="153">
        <f>SUM('Pt 1 - Summary of Data'!Q$50:Q$55)+SUM('Pt 1 - Summary of Data'!S$50:S$55)-SUM('Pt 1 - Summary of Data'!T$50:T$55)</f>
        <v>0</v>
      </c>
      <c r="P17" s="263">
        <f t="shared" ref="P17" si="2">IF(O$28&lt;75000,N17+O17,O17)</f>
        <v>0</v>
      </c>
      <c r="Q17" s="286"/>
      <c r="R17" s="70"/>
      <c r="S17" s="153">
        <f>SUM('Pt 1 - Summary of Data'!V$50:V$55)</f>
        <v>0</v>
      </c>
      <c r="T17" s="263">
        <f t="shared" ref="T17" si="3">IF(S$28&lt;75000,R17+S17,S17)</f>
        <v>0</v>
      </c>
      <c r="U17" s="286"/>
      <c r="V17" s="70"/>
      <c r="W17" s="153">
        <f>SUM('Pt 1 - Summary of Data'!Y$50:Y$55)</f>
        <v>0</v>
      </c>
      <c r="X17" s="264">
        <f t="shared" ref="X17" si="4">IF(W$28&lt;75000,V17+W17,W17)</f>
        <v>0</v>
      </c>
      <c r="Y17" s="286"/>
      <c r="Z17" s="70"/>
      <c r="AA17" s="153">
        <f>SUM('Pt 1 - Summary of Data'!AB$50:AB$55)</f>
        <v>0</v>
      </c>
      <c r="AB17" s="263">
        <f t="shared" ref="AB17" si="5">IF(AA$28&lt;75000,Z17+AA17,AA17)</f>
        <v>0</v>
      </c>
      <c r="AC17" s="286"/>
      <c r="AD17" s="70"/>
      <c r="AE17" s="153">
        <f>SUM('Pt 1 - Summary of Data'!AE$50:AE$55)+SUM('Pt 1 - Summary of Data'!AG$50:AG$55)-SUM('Pt 1 - Summary of Data'!AH$50:AH$55)</f>
        <v>0</v>
      </c>
      <c r="AF17" s="263">
        <f t="shared" ref="AF17" si="6">IF(AE$28&lt;75000,AD17+AE17,AE17)</f>
        <v>0</v>
      </c>
      <c r="AG17" s="286"/>
      <c r="AH17" s="70"/>
      <c r="AI17" s="153">
        <f>SUM('Pt 1 - Summary of Data'!AJ$50:AJ$55)+SUM('Pt 1 - Summary of Data'!AL$50:AL$55)-SUM('Pt 1 - Summary of Data'!AM$50:AM$55)</f>
        <v>0</v>
      </c>
      <c r="AJ17" s="263">
        <f t="shared" ref="AJ17" si="7">IF(AI$28&lt;75000,AH17+AI17,AI17)</f>
        <v>0</v>
      </c>
    </row>
    <row r="18" spans="1:36">
      <c r="B18" s="31"/>
      <c r="C18" s="16">
        <v>1.4</v>
      </c>
      <c r="D18" s="34" t="s">
        <v>167</v>
      </c>
      <c r="E18" s="257"/>
      <c r="F18" s="466"/>
      <c r="G18" s="287"/>
      <c r="H18" s="263">
        <f>IF(G$28&lt;75000,F18,0)</f>
        <v>0</v>
      </c>
      <c r="I18" s="257"/>
      <c r="J18" s="466"/>
      <c r="K18" s="287"/>
      <c r="L18" s="263">
        <f>IF(K$28&lt;75000,J18,0)</f>
        <v>0</v>
      </c>
      <c r="M18" s="257"/>
      <c r="N18" s="466"/>
      <c r="O18" s="287"/>
      <c r="P18" s="263">
        <f>IF(O$28&lt;75000,N18,0)</f>
        <v>0</v>
      </c>
      <c r="Q18" s="257"/>
      <c r="R18" s="466"/>
      <c r="S18" s="287"/>
      <c r="T18" s="263">
        <f>IF(S$28&lt;75000,R18,0)</f>
        <v>0</v>
      </c>
      <c r="U18" s="257"/>
      <c r="V18" s="466"/>
      <c r="W18" s="287"/>
      <c r="X18" s="263">
        <f>IF(W$28&lt;75000,V18,0)</f>
        <v>0</v>
      </c>
      <c r="Y18" s="257"/>
      <c r="Z18" s="466"/>
      <c r="AA18" s="287"/>
      <c r="AB18" s="263">
        <f>IF(AA$28&lt;75000,Z18,0)</f>
        <v>0</v>
      </c>
      <c r="AC18" s="257"/>
      <c r="AD18" s="466"/>
      <c r="AE18" s="287"/>
      <c r="AF18" s="263">
        <f>IF(AE$28&lt;75000,AD18,0)</f>
        <v>0</v>
      </c>
      <c r="AG18" s="257"/>
      <c r="AH18" s="466"/>
      <c r="AI18" s="287"/>
      <c r="AJ18" s="263">
        <f>IF(AI$28&lt;75000,AH18,0)</f>
        <v>0</v>
      </c>
    </row>
    <row r="19" spans="1:36">
      <c r="B19" s="31"/>
      <c r="C19" s="16">
        <v>1.5</v>
      </c>
      <c r="D19" s="34" t="s">
        <v>168</v>
      </c>
      <c r="E19" s="286"/>
      <c r="F19" s="287"/>
      <c r="G19" s="287"/>
      <c r="H19" s="288">
        <f>IF(AND('Pt 1 - Summary of Data'!$I$10="Massachusetts",'Pt 1 - Summary of Data'!$L$8="Yes"),SUM($H$16:$H$18,$L$16:$L$18),SUM(H$16:H$18))</f>
        <v>0</v>
      </c>
      <c r="I19" s="286"/>
      <c r="J19" s="287"/>
      <c r="K19" s="287"/>
      <c r="L19" s="288">
        <f>IF(AND('Pt 1 - Summary of Data'!$I$10="Massachusetts",'Pt 1 - Summary of Data'!$L$8="Yes"),SUM($H$16:$H$18,$L$16:$L$18),SUM(L$16:L$18))</f>
        <v>0</v>
      </c>
      <c r="M19" s="286"/>
      <c r="N19" s="287"/>
      <c r="O19" s="287"/>
      <c r="P19" s="288">
        <f>SUM(P$16:P$18)</f>
        <v>0</v>
      </c>
      <c r="Q19" s="286"/>
      <c r="R19" s="287"/>
      <c r="S19" s="287"/>
      <c r="T19" s="289"/>
      <c r="U19" s="286"/>
      <c r="V19" s="287"/>
      <c r="W19" s="287"/>
      <c r="X19" s="290"/>
      <c r="Y19" s="286"/>
      <c r="Z19" s="287"/>
      <c r="AA19" s="287"/>
      <c r="AB19" s="289"/>
      <c r="AC19" s="286"/>
      <c r="AD19" s="287"/>
      <c r="AE19" s="287"/>
      <c r="AF19" s="289"/>
      <c r="AG19" s="286"/>
      <c r="AH19" s="287"/>
      <c r="AI19" s="287"/>
      <c r="AJ19" s="289"/>
    </row>
    <row r="20" spans="1:36" ht="24.9">
      <c r="B20" s="31"/>
      <c r="C20" s="16">
        <v>1.6</v>
      </c>
      <c r="D20" s="34" t="s">
        <v>302</v>
      </c>
      <c r="E20" s="286"/>
      <c r="F20" s="291"/>
      <c r="G20" s="291"/>
      <c r="H20" s="292"/>
      <c r="I20" s="286"/>
      <c r="J20" s="291"/>
      <c r="K20" s="291"/>
      <c r="L20" s="292"/>
      <c r="M20" s="286"/>
      <c r="N20" s="291"/>
      <c r="O20" s="291"/>
      <c r="P20" s="292"/>
      <c r="Q20" s="286"/>
      <c r="R20" s="291"/>
      <c r="S20" s="291"/>
      <c r="T20" s="293">
        <f>1.75*IF(AND('Pt 1 - Summary of Data'!$I$10="Massachusetts",'Pt 1 - Summary of Data'!$L$8="Yes"),SUM($T$16:$T$18,$X$16:$X$18),SUM(T$16:T$18))</f>
        <v>0</v>
      </c>
      <c r="U20" s="286"/>
      <c r="V20" s="291"/>
      <c r="W20" s="291"/>
      <c r="X20" s="294">
        <f>1.75*IF(AND('Pt 1 - Summary of Data'!$I$10="Massachusetts",'Pt 1 - Summary of Data'!$L$8="Yes"),SUM($T$16:$T$18,$X$16:$X$18),SUM(X$16:X$18))</f>
        <v>0</v>
      </c>
      <c r="Y20" s="286"/>
      <c r="Z20" s="291"/>
      <c r="AA20" s="291"/>
      <c r="AB20" s="293">
        <f>1.75*SUM(AB$16:AB$18)</f>
        <v>0</v>
      </c>
      <c r="AC20" s="286"/>
      <c r="AD20" s="291"/>
      <c r="AE20" s="291"/>
      <c r="AF20" s="293">
        <f>2*SUM(AF$16:AF$18)</f>
        <v>0</v>
      </c>
      <c r="AG20" s="286"/>
      <c r="AH20" s="291"/>
      <c r="AI20" s="291"/>
      <c r="AJ20" s="293">
        <f>2*SUM(AJ$16:AJ$18)</f>
        <v>0</v>
      </c>
    </row>
    <row r="21" spans="1:36">
      <c r="B21" s="345"/>
      <c r="C21" s="346"/>
      <c r="D21" s="347" t="s">
        <v>58</v>
      </c>
      <c r="E21" s="339"/>
      <c r="F21" s="328"/>
      <c r="G21" s="328"/>
      <c r="H21" s="340"/>
      <c r="I21" s="339"/>
      <c r="J21" s="328"/>
      <c r="K21" s="328"/>
      <c r="L21" s="340"/>
      <c r="M21" s="339"/>
      <c r="N21" s="328"/>
      <c r="O21" s="328"/>
      <c r="P21" s="340"/>
      <c r="Q21" s="339"/>
      <c r="R21" s="328"/>
      <c r="S21" s="328"/>
      <c r="T21" s="340"/>
      <c r="U21" s="339"/>
      <c r="V21" s="328"/>
      <c r="W21" s="328"/>
      <c r="X21" s="341"/>
      <c r="Y21" s="339"/>
      <c r="Z21" s="328"/>
      <c r="AA21" s="328"/>
      <c r="AB21" s="340"/>
      <c r="AC21" s="339"/>
      <c r="AD21" s="328"/>
      <c r="AE21" s="328"/>
      <c r="AF21" s="340"/>
      <c r="AG21" s="339"/>
      <c r="AH21" s="328"/>
      <c r="AI21" s="328"/>
      <c r="AJ21" s="340"/>
    </row>
    <row r="22" spans="1:36">
      <c r="B22" s="30" t="s">
        <v>2</v>
      </c>
      <c r="C22" s="25" t="s">
        <v>82</v>
      </c>
      <c r="D22" s="33"/>
      <c r="E22" s="342"/>
      <c r="F22" s="325"/>
      <c r="G22" s="325"/>
      <c r="H22" s="343"/>
      <c r="I22" s="342"/>
      <c r="J22" s="325"/>
      <c r="K22" s="325"/>
      <c r="L22" s="343"/>
      <c r="M22" s="342"/>
      <c r="N22" s="325"/>
      <c r="O22" s="325"/>
      <c r="P22" s="343"/>
      <c r="Q22" s="342"/>
      <c r="R22" s="325"/>
      <c r="S22" s="325"/>
      <c r="T22" s="343"/>
      <c r="U22" s="342"/>
      <c r="V22" s="325"/>
      <c r="W22" s="325"/>
      <c r="X22" s="344"/>
      <c r="Y22" s="342"/>
      <c r="Z22" s="325"/>
      <c r="AA22" s="325"/>
      <c r="AB22" s="343"/>
      <c r="AC22" s="342"/>
      <c r="AD22" s="325"/>
      <c r="AE22" s="325"/>
      <c r="AF22" s="343"/>
      <c r="AG22" s="342"/>
      <c r="AH22" s="325"/>
      <c r="AI22" s="325"/>
      <c r="AJ22" s="343"/>
    </row>
    <row r="23" spans="1:36">
      <c r="B23" s="31"/>
      <c r="C23" s="16">
        <v>2.1</v>
      </c>
      <c r="D23" s="34" t="s">
        <v>169</v>
      </c>
      <c r="E23" s="265"/>
      <c r="F23" s="55"/>
      <c r="G23" s="153">
        <f>('Pt 2 - Premium and Claims'!G$20+'Pt 2 - Premium and Claims'!G$21-'Pt 2 - Premium and Claims'!G$22-'Pt 2 - Premium and Claims'!G$28+'Pt 2 - Premium and Claims'!G$29+'Pt 1 - Summary of Data'!G$21+'Pt 1 - Summary of Data'!G$22)+('Pt 2 - Premium and Claims'!I$20+'Pt 2 - Premium and Claims'!I$21-'Pt 2 - Premium and Claims'!I$22-'Pt 2 - Premium and Claims'!I$28+'Pt 2 - Premium and Claims'!I$29+'Pt 1 - Summary of Data'!I$21+'Pt 1 - Summary of Data'!I$22)-('Pt 2 - Premium and Claims'!J$20+'Pt 2 - Premium and Claims'!J$21-'Pt 2 - Premium and Claims'!J$22-'Pt 2 - Premium and Claims'!J$28+'Pt 2 - Premium and Claims'!J$29+'Pt 1 - Summary of Data'!J$21+'Pt 1 - Summary of Data'!J$22)</f>
        <v>0</v>
      </c>
      <c r="H23" s="263">
        <f>IF(G$28&lt;75000,F23+G23,G23)</f>
        <v>0</v>
      </c>
      <c r="I23" s="265"/>
      <c r="J23" s="55"/>
      <c r="K23" s="153">
        <f>('Pt 2 - Premium and Claims'!L$20+'Pt 2 - Premium and Claims'!L$21-'Pt 2 - Premium and Claims'!L$22-'Pt 2 - Premium and Claims'!L$28+'Pt 2 - Premium and Claims'!L$29+'Pt 1 - Summary of Data'!L$21+'Pt 1 - Summary of Data'!L$22)+('Pt 2 - Premium and Claims'!N$20+'Pt 2 - Premium and Claims'!N$21-'Pt 2 - Premium and Claims'!N$22-'Pt 2 - Premium and Claims'!N$28+'Pt 2 - Premium and Claims'!N$29+'Pt 1 - Summary of Data'!N$21+'Pt 1 - Summary of Data'!N$22)-('Pt 2 - Premium and Claims'!O$20+'Pt 2 - Premium and Claims'!O$21-'Pt 2 - Premium and Claims'!O$22-'Pt 2 - Premium and Claims'!O$28+'Pt 2 - Premium and Claims'!O$29+'Pt 1 - Summary of Data'!O$21+'Pt 1 - Summary of Data'!O$22)</f>
        <v>0</v>
      </c>
      <c r="L23" s="263">
        <f>IF(K$28&lt;75000,J23+K23,K23)</f>
        <v>0</v>
      </c>
      <c r="M23" s="265"/>
      <c r="N23" s="55"/>
      <c r="O23" s="153">
        <f>('Pt 2 - Premium and Claims'!Q$20+'Pt 2 - Premium and Claims'!Q$21-'Pt 2 - Premium and Claims'!Q$22-'Pt 2 - Premium and Claims'!Q$28+'Pt 2 - Premium and Claims'!Q$29+'Pt 1 - Summary of Data'!Q$21+'Pt 1 - Summary of Data'!Q$22)+('Pt 2 - Premium and Claims'!S$20+'Pt 2 - Premium and Claims'!S$21-'Pt 2 - Premium and Claims'!S$22-'Pt 2 - Premium and Claims'!S$28+'Pt 2 - Premium and Claims'!S$29+'Pt 1 - Summary of Data'!S$21+'Pt 1 - Summary of Data'!S$22)-('Pt 2 - Premium and Claims'!T$20+'Pt 2 - Premium and Claims'!T$21-'Pt 2 - Premium and Claims'!T$22-'Pt 2 - Premium and Claims'!T$28+'Pt 2 - Premium and Claims'!T$29+'Pt 1 - Summary of Data'!T$21+'Pt 1 - Summary of Data'!T$22)</f>
        <v>0</v>
      </c>
      <c r="P23" s="263">
        <f>IF(O$28&lt;75000,N23+O23,O23)</f>
        <v>0</v>
      </c>
      <c r="Q23" s="265"/>
      <c r="R23" s="55"/>
      <c r="S23" s="153">
        <f>'Pt 2 - Premium and Claims'!V$20+'Pt 2 - Premium and Claims'!V$21-'Pt 2 - Premium and Claims'!V$22-'Pt 2 - Premium and Claims'!V$28+'Pt 2 - Premium and Claims'!V$29+'Pt 1 - Summary of Data'!V$21+'Pt 1 - Summary of Data'!V$22</f>
        <v>0</v>
      </c>
      <c r="T23" s="263">
        <f>IF(S$28&lt;75000,R23+S23,S23)</f>
        <v>0</v>
      </c>
      <c r="U23" s="265"/>
      <c r="V23" s="55"/>
      <c r="W23" s="153">
        <f>'Pt 2 - Premium and Claims'!Y$20+'Pt 2 - Premium and Claims'!Y$21-'Pt 2 - Premium and Claims'!Y$22-'Pt 2 - Premium and Claims'!Y$28+'Pt 2 - Premium and Claims'!Y$29+'Pt 1 - Summary of Data'!Y$21+'Pt 1 - Summary of Data'!Y$22</f>
        <v>0</v>
      </c>
      <c r="X23" s="264">
        <f>IF(W$28&lt;75000,V23+W23,W23)</f>
        <v>0</v>
      </c>
      <c r="Y23" s="265"/>
      <c r="Z23" s="55"/>
      <c r="AA23" s="153">
        <f>'Pt 2 - Premium and Claims'!AB$20+'Pt 2 - Premium and Claims'!AB$21-'Pt 2 - Premium and Claims'!AB$22-'Pt 2 - Premium and Claims'!AB$28+'Pt 2 - Premium and Claims'!AB$29+'Pt 1 - Summary of Data'!AB$21+'Pt 1 - Summary of Data'!AB$22</f>
        <v>0</v>
      </c>
      <c r="AB23" s="263">
        <f>IF(AA$28&lt;75000,Z23+AA23,AA23)</f>
        <v>0</v>
      </c>
      <c r="AC23" s="265"/>
      <c r="AD23" s="55"/>
      <c r="AE23" s="153">
        <f>('Pt 2 - Premium and Claims'!AE$20+'Pt 2 - Premium and Claims'!AE$21-'Pt 2 - Premium and Claims'!AE$22-'Pt 2 - Premium and Claims'!AE$28+'Pt 2 - Premium and Claims'!AE$29+'Pt 1 - Summary of Data'!AE$21+'Pt 1 - Summary of Data'!AE$22)+('Pt 2 - Premium and Claims'!AG$20+'Pt 2 - Premium and Claims'!AG$21-'Pt 2 - Premium and Claims'!AG$22-'Pt 2 - Premium and Claims'!AG$28+'Pt 2 - Premium and Claims'!AG$29+'Pt 1 - Summary of Data'!AG$21+'Pt 1 - Summary of Data'!AG$22)-('Pt 2 - Premium and Claims'!AH$20+'Pt 2 - Premium and Claims'!AH$21-'Pt 2 - Premium and Claims'!AH$22-'Pt 2 - Premium and Claims'!AH$28+'Pt 2 - Premium and Claims'!AH$29+'Pt 1 - Summary of Data'!AH$21+'Pt 1 - Summary of Data'!AH$22)</f>
        <v>0</v>
      </c>
      <c r="AF23" s="263">
        <f>IF(AE$28&lt;75000,AD23+AE23,AE23)</f>
        <v>0</v>
      </c>
      <c r="AG23" s="265"/>
      <c r="AH23" s="55"/>
      <c r="AI23" s="153">
        <f>('Pt 2 - Premium and Claims'!AJ$20+'Pt 2 - Premium and Claims'!AJ$21-'Pt 2 - Premium and Claims'!AJ$22-'Pt 2 - Premium and Claims'!AJ$28+'Pt 2 - Premium and Claims'!AJ$29+'Pt 1 - Summary of Data'!AJ$21+'Pt 1 - Summary of Data'!AJ$22)+('Pt 2 - Premium and Claims'!AL$20+'Pt 2 - Premium and Claims'!AL$21-'Pt 2 - Premium and Claims'!AL$22-'Pt 2 - Premium and Claims'!AL$28+'Pt 2 - Premium and Claims'!AL$29+'Pt 1 - Summary of Data'!AL$21+'Pt 1 - Summary of Data'!AL$22)-('Pt 2 - Premium and Claims'!AM$20+'Pt 2 - Premium and Claims'!AM$21-'Pt 2 - Premium and Claims'!AM$22-'Pt 2 - Premium and Claims'!AM$28+'Pt 2 - Premium and Claims'!AM$29+'Pt 1 - Summary of Data'!AM$21+'Pt 1 - Summary of Data'!AM$22)</f>
        <v>0</v>
      </c>
      <c r="AJ23" s="263">
        <f>IF(AI$28&lt;75000,AH23+AI23,AI23)</f>
        <v>0</v>
      </c>
    </row>
    <row r="24" spans="1:36">
      <c r="B24" s="31"/>
      <c r="C24" s="16">
        <v>2.2000000000000002</v>
      </c>
      <c r="D24" s="34" t="s">
        <v>170</v>
      </c>
      <c r="E24" s="265"/>
      <c r="F24" s="55"/>
      <c r="G24" s="153">
        <f>('Pt 1 - Summary of Data'!G$41+'Pt 1 - Summary of Data'!G$42+'Pt 1 - Summary of Data'!G$44+MAX('Pt 1 - Summary of Data'!G$45:G$46)+'Pt 1 - Summary of Data'!G$47)+('Pt 1 - Summary of Data'!I$41+'Pt 1 - Summary of Data'!I$42+'Pt 1 - Summary of Data'!I$44+MAX('Pt 1 - Summary of Data'!I$45:I$46)+'Pt 1 - Summary of Data'!I$47)-('Pt 1 - Summary of Data'!J$41+'Pt 1 - Summary of Data'!J$42+'Pt 1 - Summary of Data'!J$44+MAX('Pt 1 - Summary of Data'!J$45:J$46)+'Pt 1 - Summary of Data'!J$47)</f>
        <v>0</v>
      </c>
      <c r="H24" s="263">
        <f t="shared" ref="H24" si="8">IF(G$28&lt;75000,F24+G24,G24)</f>
        <v>0</v>
      </c>
      <c r="I24" s="265"/>
      <c r="J24" s="55"/>
      <c r="K24" s="153">
        <f>('Pt 1 - Summary of Data'!L$41+'Pt 1 - Summary of Data'!L$42+'Pt 1 - Summary of Data'!L$44+MAX('Pt 1 - Summary of Data'!L$45:L$46)+'Pt 1 - Summary of Data'!L$47)+('Pt 1 - Summary of Data'!N$41+'Pt 1 - Summary of Data'!N$42+'Pt 1 - Summary of Data'!N$44+MAX('Pt 1 - Summary of Data'!N$45:N$46)+'Pt 1 - Summary of Data'!N$47)-('Pt 1 - Summary of Data'!O$41+'Pt 1 - Summary of Data'!O$42+'Pt 1 - Summary of Data'!O$44+MAX('Pt 1 - Summary of Data'!O$45:O$46)+'Pt 1 - Summary of Data'!O$47)</f>
        <v>0</v>
      </c>
      <c r="L24" s="263">
        <f t="shared" ref="L24" si="9">IF(K$28&lt;75000,J24+K24,K24)</f>
        <v>0</v>
      </c>
      <c r="M24" s="265"/>
      <c r="N24" s="55"/>
      <c r="O24" s="153">
        <f>('Pt 1 - Summary of Data'!Q$41+'Pt 1 - Summary of Data'!Q$42+'Pt 1 - Summary of Data'!Q$44+MAX('Pt 1 - Summary of Data'!Q$45:Q$46)+'Pt 1 - Summary of Data'!Q$47)+('Pt 1 - Summary of Data'!S$41+'Pt 1 - Summary of Data'!S$42+'Pt 1 - Summary of Data'!S$44+MAX('Pt 1 - Summary of Data'!S$45:S$46)+'Pt 1 - Summary of Data'!S$47)-('Pt 1 - Summary of Data'!T$41+'Pt 1 - Summary of Data'!T$42+'Pt 1 - Summary of Data'!T$44+MAX('Pt 1 - Summary of Data'!T$45:T$46)+'Pt 1 - Summary of Data'!T$47)</f>
        <v>0</v>
      </c>
      <c r="P24" s="263">
        <f t="shared" ref="P24" si="10">IF(O$28&lt;75000,N24+O24,O24)</f>
        <v>0</v>
      </c>
      <c r="Q24" s="265"/>
      <c r="R24" s="55"/>
      <c r="S24" s="153">
        <f>'Pt 1 - Summary of Data'!V$41+'Pt 1 - Summary of Data'!V$42+'Pt 1 - Summary of Data'!V$44+MAX('Pt 1 - Summary of Data'!V$45:V$46)+'Pt 1 - Summary of Data'!V$47</f>
        <v>0</v>
      </c>
      <c r="T24" s="263">
        <f t="shared" ref="T24" si="11">IF(S$28&lt;75000,R24+S24,S24)</f>
        <v>0</v>
      </c>
      <c r="U24" s="265"/>
      <c r="V24" s="55"/>
      <c r="W24" s="153">
        <f>'Pt 1 - Summary of Data'!Y$41+'Pt 1 - Summary of Data'!Y$42+'Pt 1 - Summary of Data'!Y$44+MAX('Pt 1 - Summary of Data'!Y$45:Y$46)+'Pt 1 - Summary of Data'!Y$47</f>
        <v>0</v>
      </c>
      <c r="X24" s="264">
        <f t="shared" ref="X24" si="12">IF(W$28&lt;75000,V24+W24,W24)</f>
        <v>0</v>
      </c>
      <c r="Y24" s="265"/>
      <c r="Z24" s="55"/>
      <c r="AA24" s="153">
        <f>'Pt 1 - Summary of Data'!AB$41+'Pt 1 - Summary of Data'!AB$42+'Pt 1 - Summary of Data'!AB$44+MAX('Pt 1 - Summary of Data'!AB$45:AB$46)+'Pt 1 - Summary of Data'!AB$47</f>
        <v>0</v>
      </c>
      <c r="AB24" s="263">
        <f t="shared" ref="AB24" si="13">IF(AA$28&lt;75000,Z24+AA24,AA24)</f>
        <v>0</v>
      </c>
      <c r="AC24" s="265"/>
      <c r="AD24" s="55"/>
      <c r="AE24" s="153">
        <f>('Pt 1 - Summary of Data'!AE$41+'Pt 1 - Summary of Data'!AE$42+'Pt 1 - Summary of Data'!AE$44+MAX('Pt 1 - Summary of Data'!AE$45:AE$46)+'Pt 1 - Summary of Data'!AE$47)+('Pt 1 - Summary of Data'!AG$41+'Pt 1 - Summary of Data'!AG$42+'Pt 1 - Summary of Data'!AG$44+MAX('Pt 1 - Summary of Data'!AG$45:AG$46)+'Pt 1 - Summary of Data'!AG$47)-('Pt 1 - Summary of Data'!AH$41+'Pt 1 - Summary of Data'!AH$42+'Pt 1 - Summary of Data'!AH$44+MAX('Pt 1 - Summary of Data'!AH$45:AH$46)+'Pt 1 - Summary of Data'!AH$47)</f>
        <v>0</v>
      </c>
      <c r="AF24" s="263">
        <f t="shared" ref="AF24" si="14">IF(AE$28&lt;75000,AD24+AE24,AE24)</f>
        <v>0</v>
      </c>
      <c r="AG24" s="265"/>
      <c r="AH24" s="55"/>
      <c r="AI24" s="153">
        <f>('Pt 1 - Summary of Data'!AJ$41+'Pt 1 - Summary of Data'!AJ$42+'Pt 1 - Summary of Data'!AJ$44+MAX('Pt 1 - Summary of Data'!AJ$45:AJ$46)+'Pt 1 - Summary of Data'!AJ$47)+('Pt 1 - Summary of Data'!AL$41+'Pt 1 - Summary of Data'!AL$42+'Pt 1 - Summary of Data'!AL$44+MAX('Pt 1 - Summary of Data'!AL$45:AL$46)+'Pt 1 - Summary of Data'!AL$47)-('Pt 1 - Summary of Data'!AM$41+'Pt 1 - Summary of Data'!AM$42+'Pt 1 - Summary of Data'!AM$44+MAX('Pt 1 - Summary of Data'!AM$45:AM$46)+'Pt 1 - Summary of Data'!AM$47)</f>
        <v>0</v>
      </c>
      <c r="AJ24" s="263">
        <f t="shared" ref="AJ24" si="15">IF(AI$28&lt;75000,AH24+AI24,AI24)</f>
        <v>0</v>
      </c>
    </row>
    <row r="25" spans="1:36">
      <c r="B25" s="31"/>
      <c r="C25" s="16">
        <v>2.2999999999999998</v>
      </c>
      <c r="D25" s="34" t="s">
        <v>171</v>
      </c>
      <c r="E25" s="265"/>
      <c r="F25" s="266"/>
      <c r="G25" s="266"/>
      <c r="H25" s="263">
        <f>IF(AND('Pt 1 - Summary of Data'!$I$10="Massachusetts",'Pt 1 - Summary of Data'!$L$8="Yes"),$H$23-$H$24+$L$23-$L$24,H$23-H$24)</f>
        <v>0</v>
      </c>
      <c r="I25" s="265"/>
      <c r="J25" s="266"/>
      <c r="K25" s="266"/>
      <c r="L25" s="263">
        <f>IF(AND('Pt 1 - Summary of Data'!$I$10="Massachusetts",'Pt 1 - Summary of Data'!$L$8="Yes"),$H$23-$H$24+$L$23-$L$24,L$23-L$24)</f>
        <v>0</v>
      </c>
      <c r="M25" s="265"/>
      <c r="N25" s="266"/>
      <c r="O25" s="266"/>
      <c r="P25" s="263">
        <f>P$23-P$24</f>
        <v>0</v>
      </c>
      <c r="Q25" s="265"/>
      <c r="R25" s="266"/>
      <c r="S25" s="266"/>
      <c r="T25" s="263">
        <f>IF(AND('Pt 1 - Summary of Data'!$I$10="Massachusetts",'Pt 1 - Summary of Data'!$L$8="Yes"),$T$23-$T$24+$X$23-$X$24,T$23-T$24)</f>
        <v>0</v>
      </c>
      <c r="U25" s="265"/>
      <c r="V25" s="266"/>
      <c r="W25" s="266"/>
      <c r="X25" s="264">
        <f>IF(AND('Pt 1 - Summary of Data'!$I$10="Massachusetts",'Pt 1 - Summary of Data'!$L$8="Yes"),$T$23-$T$24+$X$23-$X$24,X$23-X$24)</f>
        <v>0</v>
      </c>
      <c r="Y25" s="265"/>
      <c r="Z25" s="266"/>
      <c r="AA25" s="266"/>
      <c r="AB25" s="263">
        <f>AB$23-AB$24</f>
        <v>0</v>
      </c>
      <c r="AC25" s="265"/>
      <c r="AD25" s="266"/>
      <c r="AE25" s="266"/>
      <c r="AF25" s="263">
        <f>AF$23-AF$24</f>
        <v>0</v>
      </c>
      <c r="AG25" s="265"/>
      <c r="AH25" s="266"/>
      <c r="AI25" s="266"/>
      <c r="AJ25" s="263">
        <f>AJ$23-AJ$24</f>
        <v>0</v>
      </c>
    </row>
    <row r="26" spans="1:36">
      <c r="B26" s="315"/>
      <c r="C26" s="338"/>
      <c r="D26" s="317"/>
      <c r="E26" s="339"/>
      <c r="F26" s="328"/>
      <c r="G26" s="328"/>
      <c r="H26" s="340"/>
      <c r="I26" s="339"/>
      <c r="J26" s="328"/>
      <c r="K26" s="328"/>
      <c r="L26" s="340"/>
      <c r="M26" s="339"/>
      <c r="N26" s="328"/>
      <c r="O26" s="328"/>
      <c r="P26" s="340"/>
      <c r="Q26" s="339"/>
      <c r="R26" s="328"/>
      <c r="S26" s="328"/>
      <c r="T26" s="340"/>
      <c r="U26" s="339"/>
      <c r="V26" s="328"/>
      <c r="W26" s="328"/>
      <c r="X26" s="341"/>
      <c r="Y26" s="339"/>
      <c r="Z26" s="328"/>
      <c r="AA26" s="328"/>
      <c r="AB26" s="340"/>
      <c r="AC26" s="339"/>
      <c r="AD26" s="328"/>
      <c r="AE26" s="328"/>
      <c r="AF26" s="340"/>
      <c r="AG26" s="339"/>
      <c r="AH26" s="328"/>
      <c r="AI26" s="328"/>
      <c r="AJ26" s="340"/>
    </row>
    <row r="27" spans="1:36">
      <c r="B27" s="30" t="s">
        <v>3</v>
      </c>
      <c r="C27" s="46" t="s">
        <v>42</v>
      </c>
      <c r="D27" s="79"/>
      <c r="E27" s="342"/>
      <c r="F27" s="325"/>
      <c r="G27" s="325"/>
      <c r="H27" s="343"/>
      <c r="I27" s="342"/>
      <c r="J27" s="325"/>
      <c r="K27" s="325"/>
      <c r="L27" s="343"/>
      <c r="M27" s="342"/>
      <c r="N27" s="325"/>
      <c r="O27" s="325"/>
      <c r="P27" s="343"/>
      <c r="Q27" s="342"/>
      <c r="R27" s="325"/>
      <c r="S27" s="325"/>
      <c r="T27" s="343"/>
      <c r="U27" s="342"/>
      <c r="V27" s="325"/>
      <c r="W27" s="325"/>
      <c r="X27" s="343"/>
      <c r="Y27" s="342"/>
      <c r="Z27" s="325"/>
      <c r="AA27" s="325"/>
      <c r="AB27" s="343"/>
      <c r="AC27" s="342"/>
      <c r="AD27" s="325"/>
      <c r="AE27" s="325"/>
      <c r="AF27" s="343"/>
      <c r="AG27" s="342"/>
      <c r="AH27" s="325"/>
      <c r="AI27" s="325"/>
      <c r="AJ27" s="343"/>
    </row>
    <row r="28" spans="1:36">
      <c r="B28" s="31"/>
      <c r="C28" s="16">
        <v>3.1</v>
      </c>
      <c r="D28" s="34" t="s">
        <v>221</v>
      </c>
      <c r="E28" s="298"/>
      <c r="F28" s="299"/>
      <c r="G28" s="267">
        <f>'Pt 1 - Summary of Data'!G$74/12+'Pt 1 - Summary of Data'!I$74/12-'Pt 1 - Summary of Data'!J$74/12</f>
        <v>0</v>
      </c>
      <c r="H28" s="268">
        <f t="shared" ref="H28" si="16">IF(G$28&lt;75000,F28+G28,G28)</f>
        <v>0</v>
      </c>
      <c r="I28" s="298"/>
      <c r="J28" s="299"/>
      <c r="K28" s="267">
        <f>'Pt 1 - Summary of Data'!L$74/12+'Pt 1 - Summary of Data'!N$74/12-'Pt 1 - Summary of Data'!O$74/12</f>
        <v>0</v>
      </c>
      <c r="L28" s="268">
        <f t="shared" ref="L28" si="17">IF(K$28&lt;75000,J28+K28,K28)</f>
        <v>0</v>
      </c>
      <c r="M28" s="298"/>
      <c r="N28" s="299"/>
      <c r="O28" s="267">
        <f>'Pt 1 - Summary of Data'!Q$74/12+'Pt 1 - Summary of Data'!S$74/12-'Pt 1 - Summary of Data'!T$74/12</f>
        <v>0</v>
      </c>
      <c r="P28" s="268">
        <f t="shared" ref="P28" si="18">IF(O$28&lt;75000,N28+O28,O28)</f>
        <v>0</v>
      </c>
      <c r="Q28" s="298"/>
      <c r="R28" s="299"/>
      <c r="S28" s="267">
        <f>'Pt 1 - Summary of Data'!V$74/12</f>
        <v>0</v>
      </c>
      <c r="T28" s="268">
        <f t="shared" ref="T28" si="19">IF(S$28&lt;75000,R28+S28,S28)</f>
        <v>0</v>
      </c>
      <c r="U28" s="298"/>
      <c r="V28" s="299"/>
      <c r="W28" s="267">
        <f>'Pt 1 - Summary of Data'!Y$74/12</f>
        <v>0</v>
      </c>
      <c r="X28" s="269">
        <f t="shared" ref="X28" si="20">IF(W$28&lt;75000,V28+W28,W28)</f>
        <v>0</v>
      </c>
      <c r="Y28" s="298"/>
      <c r="Z28" s="299"/>
      <c r="AA28" s="267">
        <f>'Pt 1 - Summary of Data'!AB$74/12</f>
        <v>0</v>
      </c>
      <c r="AB28" s="268">
        <f t="shared" ref="AB28" si="21">IF(AA$28&lt;75000,Z28+AA28,AA28)</f>
        <v>0</v>
      </c>
      <c r="AC28" s="298"/>
      <c r="AD28" s="299"/>
      <c r="AE28" s="267">
        <f>'Pt 1 - Summary of Data'!AE$74/12+'Pt 1 - Summary of Data'!AG$74/12-'Pt 1 - Summary of Data'!AH$74/12</f>
        <v>0</v>
      </c>
      <c r="AF28" s="268">
        <f t="shared" ref="AF28" si="22">IF(AE$28&lt;75000,AD28+AE28,AE28)</f>
        <v>0</v>
      </c>
      <c r="AG28" s="298"/>
      <c r="AH28" s="299"/>
      <c r="AI28" s="267">
        <f>'Pt 1 - Summary of Data'!AJ$74/12+'Pt 1 - Summary of Data'!AL$74/12-'Pt 1 - Summary of Data'!AM$74/12</f>
        <v>0</v>
      </c>
      <c r="AJ28" s="268">
        <f t="shared" ref="AJ28" si="23">IF(AI$28&lt;75000,AH28+AI28,AI28)</f>
        <v>0</v>
      </c>
    </row>
    <row r="29" spans="1:36">
      <c r="B29" s="31"/>
      <c r="C29" s="16">
        <v>3.2</v>
      </c>
      <c r="D29" s="34" t="s">
        <v>172</v>
      </c>
      <c r="E29" s="300"/>
      <c r="F29" s="296"/>
      <c r="G29" s="296"/>
      <c r="H29" s="301">
        <f ca="1">IF(OR(H$28&lt;1000,H$28&gt;=75000),0,VLOOKUP(H$28,Tables!$A$6:$B$13,2)+((H$28-VLOOKUP(H$28,Tables!$A$6:$B$13,1))*(OFFSET(INDEX(Tables!$A$6:$A$13,MATCH(H$28,Tables!$A$6:$A$13)),1,1)-VLOOKUP(H$28,Tables!$A$6:$B$13,2))/(OFFSET(INDEX(Tables!$A$6:$A$13,MATCH(H$28,Tables!$A$6:$A$13)),1,0)-VLOOKUP(H$28,Tables!$A$6:$B$13,1))))</f>
        <v>0</v>
      </c>
      <c r="I29" s="300"/>
      <c r="J29" s="296"/>
      <c r="K29" s="296"/>
      <c r="L29" s="301">
        <f ca="1">IF(OR(L$28&lt;1000,L$28&gt;75000),0,VLOOKUP(L$28,Tables!$A$6:$B$13,2)+((L$28-VLOOKUP(L$28,Tables!$A$6:$B$13,1))*(OFFSET(INDEX(Tables!$A$6:$A$13,MATCH(L$28,Tables!$A$6:$A$13)),1,1)-VLOOKUP(L$28,Tables!$A$6:$B$13,2))/(OFFSET(INDEX(Tables!$A$6:$A$13,MATCH(L$28,Tables!$A$6:$A$13)),1,0)-VLOOKUP(L$28,Tables!$A$6:$B$13,1))))</f>
        <v>0</v>
      </c>
      <c r="M29" s="300"/>
      <c r="N29" s="296"/>
      <c r="O29" s="296"/>
      <c r="P29" s="301">
        <f ca="1">IF(OR(P$28&lt;1000,P$28&gt;75000),0,VLOOKUP(P$28,Tables!$A$6:$B$13,2)+((P$28-VLOOKUP(P$28,Tables!$A$6:$B$13,1))*(OFFSET(INDEX(Tables!$A$6:$A$13,MATCH(P$28,Tables!$A$6:$A$13)),1,1)-VLOOKUP(P$28,Tables!$A$6:$B$13,2))/(OFFSET(INDEX(Tables!$A$6:$A$13,MATCH(P$28,Tables!$A$6:$A$13)),1,0)-VLOOKUP(P$28,Tables!$A$6:$B$13,1))))</f>
        <v>0</v>
      </c>
      <c r="Q29" s="300"/>
      <c r="R29" s="296"/>
      <c r="S29" s="296"/>
      <c r="T29" s="301">
        <f ca="1">IF(OR(T$28&lt;1000,T$28&gt;75000),0,VLOOKUP(T$28,Tables!$A$6:$B$13,2)+((T$28-VLOOKUP(T$28,Tables!$A$6:$B$13,1))*(OFFSET(INDEX(Tables!$A$6:$A$13,MATCH(T$28,Tables!$A$6:$A$13)),1,1)-VLOOKUP(T$28,Tables!$A$6:$B$13,2))/(OFFSET(INDEX(Tables!$A$6:$A$13,MATCH(T$28,Tables!$A$6:$A$13)),1,0)-VLOOKUP(T$28,Tables!$A$6:$B$13,1))))</f>
        <v>0</v>
      </c>
      <c r="U29" s="300"/>
      <c r="V29" s="296"/>
      <c r="W29" s="296"/>
      <c r="X29" s="302">
        <f ca="1">IF(OR(X$28&lt;1000,X$28&gt;75000),0,VLOOKUP(X$28,Tables!$A$6:$B$13,2)+((X$28-VLOOKUP(X$28,Tables!$A$6:$B$13,1))*(OFFSET(INDEX(Tables!$A$6:$A$13,MATCH(X$28,Tables!$A$6:$A$13)),1,1)-VLOOKUP(X$28,Tables!$A$6:$B$13,2))/(OFFSET(INDEX(Tables!$A$6:$A$13,MATCH(X$28,Tables!$A$6:$A$13)),1,0)-VLOOKUP(X$28,Tables!$A$6:$B$13,1))))</f>
        <v>0</v>
      </c>
      <c r="Y29" s="300"/>
      <c r="Z29" s="296"/>
      <c r="AA29" s="296"/>
      <c r="AB29" s="301">
        <f ca="1">IF(OR(AB$28&lt;1000,AB$28&gt;75000),0,VLOOKUP(AB$28,Tables!$A$6:$B$13,2)+((AB$28-VLOOKUP(AB$28,Tables!$A$6:$B$13,1))*(OFFSET(INDEX(Tables!$A$6:$A$13,MATCH(AB$28,Tables!$A$6:$A$13)),1,1)-VLOOKUP(AB$28,Tables!$A$6:$B$13,2))/(OFFSET(INDEX(Tables!$A$6:$A$13,MATCH(AB$28,Tables!$A$6:$A$13)),1,0)-VLOOKUP(AB$28,Tables!$A$6:$B$13,1))))</f>
        <v>0</v>
      </c>
      <c r="AC29" s="300"/>
      <c r="AD29" s="296"/>
      <c r="AE29" s="296"/>
      <c r="AF29" s="301">
        <f ca="1">IF(OR(AF$28&lt;1000,AF$28&gt;75000),0,VLOOKUP(AF$28,Tables!$A$6:$B$13,2)+((AF$28-VLOOKUP(AF$28,Tables!$A$6:$B$13,1))*(OFFSET(INDEX(Tables!$A$6:$A$13,MATCH(AF$28,Tables!$A$6:$A$13)),1,1)-VLOOKUP(AF$28,Tables!$A$6:$B$13,2))/(OFFSET(INDEX(Tables!$A$6:$A$13,MATCH(AF$28,Tables!$A$6:$A$13)),1,0)-VLOOKUP(AF$28,Tables!$A$6:$B$13,1))))</f>
        <v>0</v>
      </c>
      <c r="AG29" s="300"/>
      <c r="AH29" s="296"/>
      <c r="AI29" s="296"/>
      <c r="AJ29" s="301">
        <f ca="1">IF(OR(AJ$28&lt;1000,AJ$28&gt;75000),0,VLOOKUP(AJ$28,Tables!$A$6:$B$13,2)+((AJ$28-VLOOKUP(AJ$28,Tables!$A$6:$B$13,1))*(OFFSET(INDEX(Tables!$A$6:$A$13,MATCH(AJ$28,Tables!$A$6:$A$13)),1,1)-VLOOKUP(AJ$28,Tables!$A$6:$B$13,2))/(OFFSET(INDEX(Tables!$A$6:$A$13,MATCH(AJ$28,Tables!$A$6:$A$13)),1,0)-VLOOKUP(AJ$28,Tables!$A$6:$B$13,1))))</f>
        <v>0</v>
      </c>
    </row>
    <row r="30" spans="1:36">
      <c r="B30" s="31"/>
      <c r="C30" s="16">
        <v>3.3</v>
      </c>
      <c r="D30" s="33" t="s">
        <v>173</v>
      </c>
      <c r="E30" s="286"/>
      <c r="F30" s="287"/>
      <c r="G30" s="271"/>
      <c r="H30" s="514"/>
      <c r="I30" s="286"/>
      <c r="J30" s="287"/>
      <c r="K30" s="271"/>
      <c r="L30" s="514"/>
      <c r="M30" s="286"/>
      <c r="N30" s="287"/>
      <c r="O30" s="271"/>
      <c r="P30" s="514"/>
      <c r="Q30" s="286"/>
      <c r="R30" s="287"/>
      <c r="S30" s="271"/>
      <c r="T30" s="514"/>
      <c r="U30" s="286"/>
      <c r="V30" s="287"/>
      <c r="W30" s="271"/>
      <c r="X30" s="515"/>
      <c r="Y30" s="286"/>
      <c r="Z30" s="287"/>
      <c r="AA30" s="271"/>
      <c r="AB30" s="514"/>
      <c r="AC30" s="286"/>
      <c r="AD30" s="287"/>
      <c r="AE30" s="271"/>
      <c r="AF30" s="514"/>
      <c r="AG30" s="286"/>
      <c r="AH30" s="287"/>
      <c r="AI30" s="271"/>
      <c r="AJ30" s="514"/>
    </row>
    <row r="31" spans="1:36" s="28" customFormat="1">
      <c r="A31" s="163"/>
      <c r="B31" s="31"/>
      <c r="C31" s="16">
        <v>3.4</v>
      </c>
      <c r="D31" s="34" t="s">
        <v>174</v>
      </c>
      <c r="E31" s="303"/>
      <c r="F31" s="304"/>
      <c r="G31" s="274"/>
      <c r="H31" s="275">
        <f ca="1">IF(H$30&lt;2500,1,(MIN(VLOOKUP(H$30,Tables!$A$19:$B$22,2)+((H$30-VLOOKUP(H$30,Tables!$A$19:$B$22,1))*(OFFSET(INDEX(Tables!$A$19:$A$22,MATCH(H$30,Tables!$A$19:$A$22)),1,1)-VLOOKUP(H$30,Tables!$A$19:$B$22,2))/(OFFSET(INDEX(Tables!$A$19:$A$22,MATCH(H$30,Tables!$A$19:$A$22)),1,0)-VLOOKUP(H$30,Tables!$A$19:$B$22,1))),1.736)))</f>
        <v>1</v>
      </c>
      <c r="I31" s="303"/>
      <c r="J31" s="304"/>
      <c r="K31" s="274"/>
      <c r="L31" s="305">
        <f ca="1">IF(L$30&lt;2500,1,(MIN(VLOOKUP(L$30,Tables!$A$19:$B$22,2)+((L$30-VLOOKUP(L$30,Tables!$A$19:$B$22,1))*(OFFSET(INDEX(Tables!$A$19:$A$22,MATCH(L$30,Tables!$A$19:$A$22)),1,1)-VLOOKUP(L$30,Tables!$A$19:$B$22,2))/(OFFSET(INDEX(Tables!$A$19:$A$22,MATCH(L$30,Tables!$A$19:$A$22)),1,0)-VLOOKUP(L$30,Tables!$A$19:$B$22,1))),1.736)))</f>
        <v>1</v>
      </c>
      <c r="M31" s="303"/>
      <c r="N31" s="304"/>
      <c r="O31" s="274"/>
      <c r="P31" s="275">
        <f ca="1">IF(P$30&lt;2500,1,(MIN(VLOOKUP(P$30,Tables!$A$19:$B$22,2)+((P$30-VLOOKUP(P$30,Tables!$A$19:$B$22,1))*(OFFSET(INDEX(Tables!$A$19:$A$22,MATCH(P$30,Tables!$A$19:$A$22)),1,1)-VLOOKUP(P$30,Tables!$A$19:$B$22,2))/(OFFSET(INDEX(Tables!$A$19:$A$22,MATCH(P$30,Tables!$A$19:$A$22)),1,0)-VLOOKUP(P$30,Tables!$A$19:$B$22,1))),1.736)))</f>
        <v>1</v>
      </c>
      <c r="Q31" s="303"/>
      <c r="R31" s="304"/>
      <c r="S31" s="274"/>
      <c r="T31" s="275">
        <f ca="1">IF(T$30&lt;2500,1,(MIN(VLOOKUP(T$30,Tables!$A$19:$B$22,2)+((T$30-VLOOKUP(T$30,Tables!$A$19:$B$22,1))*(OFFSET(INDEX(Tables!$A$19:$A$22,MATCH(T$30,Tables!$A$19:$A$22)),1,1)-VLOOKUP(T$30,Tables!$A$19:$B$22,2))/(OFFSET(INDEX(Tables!$A$19:$A$22,MATCH(T$30,Tables!$A$19:$A$22)),1,0)-VLOOKUP(T$30,Tables!$A$19:$B$22,1))),1.736)))</f>
        <v>1</v>
      </c>
      <c r="U31" s="303"/>
      <c r="V31" s="304"/>
      <c r="W31" s="274"/>
      <c r="X31" s="276">
        <f ca="1">IF(X$30&lt;2500,1,(MIN(VLOOKUP(X$30,Tables!$A$19:$B$22,2)+((X$30-VLOOKUP(X$30,Tables!$A$19:$B$22,1))*(OFFSET(INDEX(Tables!$A$19:$A$22,MATCH(X$30,Tables!$A$19:$A$22)),1,1)-VLOOKUP(X$30,Tables!$A$19:$B$22,2))/(OFFSET(INDEX(Tables!$A$19:$A$22,MATCH(X$30,Tables!$A$19:$A$22)),1,0)-VLOOKUP(X$30,Tables!$A$19:$B$22,1))),1.736)))</f>
        <v>1</v>
      </c>
      <c r="Y31" s="303"/>
      <c r="Z31" s="304"/>
      <c r="AA31" s="274"/>
      <c r="AB31" s="275">
        <f ca="1">IF(AB$30&lt;2500,1,(MIN(VLOOKUP(AB$30,Tables!$A$19:$B$22,2)+((AB$30-VLOOKUP(AB$30,Tables!$A$19:$B$22,1))*(OFFSET(INDEX(Tables!$A$19:$A$22,MATCH(AB$30,Tables!$A$19:$A$22)),1,1)-VLOOKUP(AB$30,Tables!$A$19:$B$22,2))/(OFFSET(INDEX(Tables!$A$19:$A$22,MATCH(AB$30,Tables!$A$19:$A$22)),1,0)-VLOOKUP(AB$30,Tables!$A$19:$B$22,1))),1.736)))</f>
        <v>1</v>
      </c>
      <c r="AC31" s="303"/>
      <c r="AD31" s="304"/>
      <c r="AE31" s="274"/>
      <c r="AF31" s="275">
        <f ca="1">IF(AF$30&lt;2500,1,(MIN(VLOOKUP(AF$30,Tables!$A$19:$B$22,2)+((AF$30-VLOOKUP(AF$30,Tables!$A$19:$B$22,1))*(OFFSET(INDEX(Tables!$A$19:$A$22,MATCH(AF$30,Tables!$A$19:$A$22)),1,1)-VLOOKUP(AF$30,Tables!$A$19:$B$22,2))/(OFFSET(INDEX(Tables!$A$19:$A$22,MATCH(AF$30,Tables!$A$19:$A$22)),1,0)-VLOOKUP(AF$30,Tables!$A$19:$B$22,1))),1.736)))</f>
        <v>1</v>
      </c>
      <c r="AG31" s="303"/>
      <c r="AH31" s="304"/>
      <c r="AI31" s="274"/>
      <c r="AJ31" s="275">
        <f ca="1">IF(AJ$30&lt;2500,1,(MIN(VLOOKUP(AJ$30,Tables!$A$19:$B$22,2)+((AJ$30-VLOOKUP(AJ$30,Tables!$A$19:$B$22,1))*(OFFSET(INDEX(Tables!$A$19:$A$22,MATCH(AJ$30,Tables!$A$19:$A$22)),1,1)-VLOOKUP(AJ$30,Tables!$A$19:$B$22,2))/(OFFSET(INDEX(Tables!$A$19:$A$22,MATCH(AJ$30,Tables!$A$19:$A$22)),1,0)-VLOOKUP(AJ$30,Tables!$A$19:$B$22,1))),1.736)))</f>
        <v>1</v>
      </c>
    </row>
    <row r="32" spans="1:36">
      <c r="B32" s="31"/>
      <c r="C32" s="16">
        <v>3.5</v>
      </c>
      <c r="D32" s="34" t="s">
        <v>175</v>
      </c>
      <c r="E32" s="300"/>
      <c r="F32" s="296"/>
      <c r="G32" s="272"/>
      <c r="H32" s="273">
        <f>IF(OR(H$28&lt;1000,H$28&gt;=75000),0,H$29*H$31)</f>
        <v>0</v>
      </c>
      <c r="I32" s="300"/>
      <c r="J32" s="296"/>
      <c r="K32" s="272"/>
      <c r="L32" s="273">
        <f>IF(OR(L$28&lt;1000,L$28&gt;=75000),0,L$29*L$31)</f>
        <v>0</v>
      </c>
      <c r="M32" s="300"/>
      <c r="N32" s="296"/>
      <c r="O32" s="272"/>
      <c r="P32" s="273">
        <f>IF(OR(P$28&lt;1000,P$28&gt;=75000),0,P$29*P$31)</f>
        <v>0</v>
      </c>
      <c r="Q32" s="300"/>
      <c r="R32" s="296"/>
      <c r="S32" s="272"/>
      <c r="T32" s="273">
        <f>IF(OR(T$28&lt;1000,T$28&gt;=75000),0,T$29*T$31)</f>
        <v>0</v>
      </c>
      <c r="U32" s="300"/>
      <c r="V32" s="296"/>
      <c r="W32" s="272"/>
      <c r="X32" s="273">
        <f>IF(OR(X$28&lt;1000,X$28&gt;=75000),0,X$29*X$31)</f>
        <v>0</v>
      </c>
      <c r="Y32" s="300"/>
      <c r="Z32" s="296"/>
      <c r="AA32" s="272"/>
      <c r="AB32" s="273">
        <f>IF(OR(AB$28&lt;1000,AB$28&gt;=75000),0,AB$29*AB$31)</f>
        <v>0</v>
      </c>
      <c r="AC32" s="300"/>
      <c r="AD32" s="296"/>
      <c r="AE32" s="272"/>
      <c r="AF32" s="273">
        <f>IF(OR(AF$28&lt;1000,AF$28&gt;=75000),0,AF$29*AF$31)</f>
        <v>0</v>
      </c>
      <c r="AG32" s="300"/>
      <c r="AH32" s="296"/>
      <c r="AI32" s="272"/>
      <c r="AJ32" s="273">
        <f>IF(OR(AJ$28&lt;1000,AJ$28&gt;=75000),0,AJ$29*AJ$31)</f>
        <v>0</v>
      </c>
    </row>
    <row r="33" spans="2:36">
      <c r="B33" s="315"/>
      <c r="C33" s="337"/>
      <c r="D33" s="317"/>
      <c r="E33" s="327"/>
      <c r="F33" s="328"/>
      <c r="G33" s="320"/>
      <c r="H33" s="321"/>
      <c r="I33" s="327"/>
      <c r="J33" s="328"/>
      <c r="K33" s="320"/>
      <c r="L33" s="321"/>
      <c r="M33" s="327"/>
      <c r="N33" s="328"/>
      <c r="O33" s="320"/>
      <c r="P33" s="321"/>
      <c r="Q33" s="327"/>
      <c r="R33" s="328"/>
      <c r="S33" s="320"/>
      <c r="T33" s="321"/>
      <c r="U33" s="327"/>
      <c r="V33" s="328"/>
      <c r="W33" s="320"/>
      <c r="X33" s="322"/>
      <c r="Y33" s="327"/>
      <c r="Z33" s="328"/>
      <c r="AA33" s="320"/>
      <c r="AB33" s="321"/>
      <c r="AC33" s="327"/>
      <c r="AD33" s="328"/>
      <c r="AE33" s="320"/>
      <c r="AF33" s="321"/>
      <c r="AG33" s="327"/>
      <c r="AH33" s="328"/>
      <c r="AI33" s="320"/>
      <c r="AJ33" s="321"/>
    </row>
    <row r="34" spans="2:36" ht="27" customHeight="1">
      <c r="B34" s="30" t="s">
        <v>4</v>
      </c>
      <c r="C34" s="586" t="s">
        <v>178</v>
      </c>
      <c r="D34" s="587"/>
      <c r="E34" s="323"/>
      <c r="F34" s="325"/>
      <c r="G34" s="325"/>
      <c r="H34" s="329"/>
      <c r="I34" s="323"/>
      <c r="J34" s="325"/>
      <c r="K34" s="325"/>
      <c r="L34" s="329"/>
      <c r="M34" s="323"/>
      <c r="N34" s="325"/>
      <c r="O34" s="325"/>
      <c r="P34" s="329"/>
      <c r="Q34" s="323"/>
      <c r="R34" s="325"/>
      <c r="S34" s="325"/>
      <c r="T34" s="329"/>
      <c r="U34" s="323"/>
      <c r="V34" s="325"/>
      <c r="W34" s="325"/>
      <c r="X34" s="330"/>
      <c r="Y34" s="323"/>
      <c r="Z34" s="325"/>
      <c r="AA34" s="325"/>
      <c r="AB34" s="329"/>
      <c r="AC34" s="323"/>
      <c r="AD34" s="325"/>
      <c r="AE34" s="325"/>
      <c r="AF34" s="329"/>
      <c r="AG34" s="323"/>
      <c r="AH34" s="325"/>
      <c r="AI34" s="325"/>
      <c r="AJ34" s="329"/>
    </row>
    <row r="35" spans="2:36">
      <c r="B35" s="31"/>
      <c r="C35" s="80">
        <v>4.0999999999999996</v>
      </c>
      <c r="D35" s="33" t="s">
        <v>89</v>
      </c>
      <c r="E35" s="331"/>
      <c r="F35" s="332"/>
      <c r="G35" s="333"/>
      <c r="H35" s="334"/>
      <c r="I35" s="335"/>
      <c r="J35" s="332"/>
      <c r="K35" s="333"/>
      <c r="L35" s="334"/>
      <c r="M35" s="335"/>
      <c r="N35" s="332"/>
      <c r="O35" s="333"/>
      <c r="P35" s="334"/>
      <c r="Q35" s="335"/>
      <c r="R35" s="332"/>
      <c r="S35" s="333"/>
      <c r="T35" s="334"/>
      <c r="U35" s="335"/>
      <c r="V35" s="332"/>
      <c r="W35" s="333"/>
      <c r="X35" s="336"/>
      <c r="Y35" s="335"/>
      <c r="Z35" s="332"/>
      <c r="AA35" s="333"/>
      <c r="AB35" s="334"/>
      <c r="AC35" s="335"/>
      <c r="AD35" s="332"/>
      <c r="AE35" s="333"/>
      <c r="AF35" s="334"/>
      <c r="AG35" s="335"/>
      <c r="AH35" s="332"/>
      <c r="AI35" s="333"/>
      <c r="AJ35" s="334"/>
    </row>
    <row r="36" spans="2:36">
      <c r="B36" s="31"/>
      <c r="C36" s="80"/>
      <c r="D36" s="34" t="s">
        <v>212</v>
      </c>
      <c r="E36" s="300"/>
      <c r="F36" s="296"/>
      <c r="G36" s="272"/>
      <c r="H36" s="273" t="str">
        <f>IF(H$28&lt;1000,"",IF(H$25=0,0,H$19/H$25))</f>
        <v/>
      </c>
      <c r="I36" s="295"/>
      <c r="J36" s="296"/>
      <c r="K36" s="272"/>
      <c r="L36" s="273" t="str">
        <f>IF(L$28&lt;1000,"",IF(L$25=0,0,L$19/L$25))</f>
        <v/>
      </c>
      <c r="M36" s="295"/>
      <c r="N36" s="296"/>
      <c r="O36" s="272"/>
      <c r="P36" s="273" t="str">
        <f>IF(P$28&lt;1000,"",IF(P$25=0,0,P$19/P$25))</f>
        <v/>
      </c>
      <c r="Q36" s="295"/>
      <c r="R36" s="296"/>
      <c r="S36" s="272"/>
      <c r="T36" s="277"/>
      <c r="U36" s="295"/>
      <c r="V36" s="296"/>
      <c r="W36" s="272"/>
      <c r="X36" s="278"/>
      <c r="Y36" s="295"/>
      <c r="Z36" s="296"/>
      <c r="AA36" s="272"/>
      <c r="AB36" s="278"/>
      <c r="AC36" s="295"/>
      <c r="AD36" s="296"/>
      <c r="AE36" s="272"/>
      <c r="AF36" s="278"/>
      <c r="AG36" s="295"/>
      <c r="AH36" s="296"/>
      <c r="AI36" s="272"/>
      <c r="AJ36" s="277"/>
    </row>
    <row r="37" spans="2:36">
      <c r="B37" s="31"/>
      <c r="C37" s="80"/>
      <c r="D37" s="34" t="s">
        <v>222</v>
      </c>
      <c r="E37" s="295"/>
      <c r="F37" s="296"/>
      <c r="G37" s="296"/>
      <c r="H37" s="306"/>
      <c r="I37" s="295"/>
      <c r="J37" s="296"/>
      <c r="K37" s="296"/>
      <c r="L37" s="306"/>
      <c r="M37" s="295"/>
      <c r="N37" s="296"/>
      <c r="O37" s="296"/>
      <c r="P37" s="306"/>
      <c r="Q37" s="295"/>
      <c r="R37" s="296"/>
      <c r="S37" s="296"/>
      <c r="T37" s="301" t="str">
        <f>IF(T$28&lt;1000,"",IF(T$25=0,0,T$20/T$25))</f>
        <v/>
      </c>
      <c r="U37" s="295"/>
      <c r="V37" s="296"/>
      <c r="W37" s="296"/>
      <c r="X37" s="301" t="str">
        <f>IF(X$28&lt;1000,"",IF(X$25=0,0,X$20/X$25))</f>
        <v/>
      </c>
      <c r="Y37" s="295"/>
      <c r="Z37" s="296"/>
      <c r="AA37" s="296"/>
      <c r="AB37" s="301" t="str">
        <f>IF(AB$28&lt;1000,"",IF(AB$25=0,0,AB$20/AB$25))</f>
        <v/>
      </c>
      <c r="AC37" s="295"/>
      <c r="AD37" s="296"/>
      <c r="AE37" s="296"/>
      <c r="AF37" s="301" t="str">
        <f>IF(AF$28&lt;1000,"",IF(AF$25=0,0,AF$20/AF$25))</f>
        <v/>
      </c>
      <c r="AG37" s="295"/>
      <c r="AH37" s="296"/>
      <c r="AI37" s="296"/>
      <c r="AJ37" s="301" t="str">
        <f>IF(AJ$28&lt;1000,"",IF(AJ$25=0,0,AJ$20/AJ$25))</f>
        <v/>
      </c>
    </row>
    <row r="38" spans="2:36">
      <c r="B38" s="31"/>
      <c r="C38" s="80">
        <v>4.2</v>
      </c>
      <c r="D38" s="33" t="s">
        <v>215</v>
      </c>
      <c r="E38" s="295"/>
      <c r="F38" s="296"/>
      <c r="G38" s="272"/>
      <c r="H38" s="273">
        <f>H$32</f>
        <v>0</v>
      </c>
      <c r="I38" s="295"/>
      <c r="J38" s="296"/>
      <c r="K38" s="272"/>
      <c r="L38" s="273">
        <f>L$32</f>
        <v>0</v>
      </c>
      <c r="M38" s="295"/>
      <c r="N38" s="296"/>
      <c r="O38" s="272"/>
      <c r="P38" s="273">
        <f>P$32</f>
        <v>0</v>
      </c>
      <c r="Q38" s="295"/>
      <c r="R38" s="296"/>
      <c r="S38" s="272"/>
      <c r="T38" s="273">
        <f>T$32</f>
        <v>0</v>
      </c>
      <c r="U38" s="295"/>
      <c r="V38" s="296"/>
      <c r="W38" s="272"/>
      <c r="X38" s="273">
        <f>X$32</f>
        <v>0</v>
      </c>
      <c r="Y38" s="295"/>
      <c r="Z38" s="296"/>
      <c r="AA38" s="272"/>
      <c r="AB38" s="273">
        <f>AB$32</f>
        <v>0</v>
      </c>
      <c r="AC38" s="295"/>
      <c r="AD38" s="296"/>
      <c r="AE38" s="272"/>
      <c r="AF38" s="273">
        <f>AF$32</f>
        <v>0</v>
      </c>
      <c r="AG38" s="295"/>
      <c r="AH38" s="296"/>
      <c r="AI38" s="272"/>
      <c r="AJ38" s="273">
        <f>AJ$32</f>
        <v>0</v>
      </c>
    </row>
    <row r="39" spans="2:36" ht="13.1">
      <c r="B39" s="31"/>
      <c r="C39" s="81">
        <v>4.3</v>
      </c>
      <c r="D39" s="37" t="s">
        <v>213</v>
      </c>
      <c r="E39" s="295"/>
      <c r="F39" s="296"/>
      <c r="G39" s="272"/>
      <c r="H39" s="273" t="str">
        <f>IF(H$36="","",ROUND(H$36+MAX(0,H$38),3))</f>
        <v/>
      </c>
      <c r="I39" s="295"/>
      <c r="J39" s="296"/>
      <c r="K39" s="272"/>
      <c r="L39" s="273" t="str">
        <f>IF(L$36="","",ROUND(L$36+MAX(0,L$38),3))</f>
        <v/>
      </c>
      <c r="M39" s="295"/>
      <c r="N39" s="296"/>
      <c r="O39" s="272"/>
      <c r="P39" s="273" t="str">
        <f>IF(P$36="","",ROUND(P$36+MAX(0,P$38),3))</f>
        <v/>
      </c>
      <c r="Q39" s="295"/>
      <c r="R39" s="296"/>
      <c r="S39" s="272"/>
      <c r="T39" s="273" t="str">
        <f>IF(T$37="","",ROUND(T$37+MAX(0,T$38),3))</f>
        <v/>
      </c>
      <c r="U39" s="295"/>
      <c r="V39" s="296"/>
      <c r="W39" s="272"/>
      <c r="X39" s="273" t="str">
        <f>IF(X$37="","",ROUND(X$37+MAX(0,X$38),3))</f>
        <v/>
      </c>
      <c r="Y39" s="295"/>
      <c r="Z39" s="296"/>
      <c r="AA39" s="272"/>
      <c r="AB39" s="273" t="str">
        <f>IF(AB$37="","",ROUND(AB$37+MAX(0,AB$38),3))</f>
        <v/>
      </c>
      <c r="AC39" s="295"/>
      <c r="AD39" s="296"/>
      <c r="AE39" s="272"/>
      <c r="AF39" s="273" t="str">
        <f>IF(AF$37="","",ROUND(AF$37+MAX(0,AF$38),3))</f>
        <v/>
      </c>
      <c r="AG39" s="295"/>
      <c r="AH39" s="296"/>
      <c r="AI39" s="272"/>
      <c r="AJ39" s="273" t="str">
        <f>IF(AJ$37="","",ROUND(AJ$37+MAX(0,AJ$38),3))</f>
        <v/>
      </c>
    </row>
    <row r="40" spans="2:36" s="27" customFormat="1">
      <c r="B40" s="315"/>
      <c r="C40" s="316"/>
      <c r="D40" s="317"/>
      <c r="E40" s="318"/>
      <c r="F40" s="319"/>
      <c r="G40" s="320"/>
      <c r="H40" s="321"/>
      <c r="I40" s="318"/>
      <c r="J40" s="319"/>
      <c r="K40" s="320"/>
      <c r="L40" s="321"/>
      <c r="M40" s="318"/>
      <c r="N40" s="319"/>
      <c r="O40" s="320"/>
      <c r="P40" s="321"/>
      <c r="Q40" s="318"/>
      <c r="R40" s="319"/>
      <c r="S40" s="320"/>
      <c r="T40" s="321"/>
      <c r="U40" s="318"/>
      <c r="V40" s="319"/>
      <c r="W40" s="320"/>
      <c r="X40" s="322"/>
      <c r="Y40" s="318"/>
      <c r="Z40" s="319"/>
      <c r="AA40" s="320"/>
      <c r="AB40" s="321"/>
      <c r="AC40" s="318"/>
      <c r="AD40" s="319"/>
      <c r="AE40" s="320"/>
      <c r="AF40" s="321"/>
      <c r="AG40" s="318"/>
      <c r="AH40" s="319"/>
      <c r="AI40" s="320"/>
      <c r="AJ40" s="321"/>
    </row>
    <row r="41" spans="2:36" s="27" customFormat="1">
      <c r="B41" s="36" t="s">
        <v>5</v>
      </c>
      <c r="C41" s="38" t="s">
        <v>176</v>
      </c>
      <c r="D41" s="79"/>
      <c r="E41" s="323"/>
      <c r="F41" s="324"/>
      <c r="G41" s="324"/>
      <c r="H41" s="325"/>
      <c r="I41" s="323"/>
      <c r="J41" s="324"/>
      <c r="K41" s="324"/>
      <c r="L41" s="325"/>
      <c r="M41" s="323"/>
      <c r="N41" s="324"/>
      <c r="O41" s="324"/>
      <c r="P41" s="325"/>
      <c r="Q41" s="323"/>
      <c r="R41" s="324"/>
      <c r="S41" s="324"/>
      <c r="T41" s="325"/>
      <c r="U41" s="323"/>
      <c r="V41" s="324"/>
      <c r="W41" s="324"/>
      <c r="X41" s="325"/>
      <c r="Y41" s="323"/>
      <c r="Z41" s="324"/>
      <c r="AA41" s="324"/>
      <c r="AB41" s="325"/>
      <c r="AC41" s="323"/>
      <c r="AD41" s="324"/>
      <c r="AE41" s="324"/>
      <c r="AF41" s="325"/>
      <c r="AG41" s="323"/>
      <c r="AH41" s="324"/>
      <c r="AI41" s="324"/>
      <c r="AJ41" s="326"/>
    </row>
    <row r="42" spans="2:36">
      <c r="B42" s="31"/>
      <c r="C42" s="24">
        <v>5.0999999999999996</v>
      </c>
      <c r="D42" s="33" t="s">
        <v>90</v>
      </c>
      <c r="E42" s="295"/>
      <c r="F42" s="296"/>
      <c r="G42" s="296"/>
      <c r="H42" s="279"/>
      <c r="I42" s="295"/>
      <c r="J42" s="296"/>
      <c r="K42" s="296"/>
      <c r="L42" s="279"/>
      <c r="M42" s="295"/>
      <c r="N42" s="296"/>
      <c r="O42" s="296"/>
      <c r="P42" s="279"/>
      <c r="Q42" s="295"/>
      <c r="R42" s="296"/>
      <c r="S42" s="296"/>
      <c r="T42" s="279"/>
      <c r="U42" s="295"/>
      <c r="V42" s="296"/>
      <c r="W42" s="296"/>
      <c r="X42" s="279"/>
      <c r="Y42" s="295"/>
      <c r="Z42" s="296"/>
      <c r="AA42" s="296"/>
      <c r="AB42" s="279"/>
      <c r="AC42" s="295"/>
      <c r="AD42" s="296"/>
      <c r="AE42" s="296"/>
      <c r="AF42" s="279"/>
      <c r="AG42" s="295"/>
      <c r="AH42" s="296"/>
      <c r="AI42" s="296"/>
      <c r="AJ42" s="280"/>
    </row>
    <row r="43" spans="2:36" s="27" customFormat="1">
      <c r="B43" s="36"/>
      <c r="C43" s="24">
        <v>5.2</v>
      </c>
      <c r="D43" s="33" t="s">
        <v>214</v>
      </c>
      <c r="E43" s="295"/>
      <c r="F43" s="296"/>
      <c r="G43" s="296"/>
      <c r="H43" s="281" t="str">
        <f>H$39</f>
        <v/>
      </c>
      <c r="I43" s="295"/>
      <c r="J43" s="296"/>
      <c r="K43" s="296"/>
      <c r="L43" s="281" t="str">
        <f>L$39</f>
        <v/>
      </c>
      <c r="M43" s="295"/>
      <c r="N43" s="296"/>
      <c r="O43" s="296"/>
      <c r="P43" s="281" t="str">
        <f>P$39</f>
        <v/>
      </c>
      <c r="Q43" s="295"/>
      <c r="R43" s="296"/>
      <c r="S43" s="296"/>
      <c r="T43" s="281" t="str">
        <f>T$39</f>
        <v/>
      </c>
      <c r="U43" s="295"/>
      <c r="V43" s="296"/>
      <c r="W43" s="296"/>
      <c r="X43" s="281" t="str">
        <f>X$39</f>
        <v/>
      </c>
      <c r="Y43" s="295"/>
      <c r="Z43" s="296"/>
      <c r="AA43" s="296"/>
      <c r="AB43" s="281" t="str">
        <f>AB$39</f>
        <v/>
      </c>
      <c r="AC43" s="295"/>
      <c r="AD43" s="296"/>
      <c r="AE43" s="296"/>
      <c r="AF43" s="281" t="str">
        <f>AF$39</f>
        <v/>
      </c>
      <c r="AG43" s="295"/>
      <c r="AH43" s="296"/>
      <c r="AI43" s="296"/>
      <c r="AJ43" s="281" t="str">
        <f>AJ$39</f>
        <v/>
      </c>
    </row>
    <row r="44" spans="2:36" ht="24.9">
      <c r="B44" s="31"/>
      <c r="C44" s="24">
        <v>5.3</v>
      </c>
      <c r="D44" s="35" t="s">
        <v>310</v>
      </c>
      <c r="E44" s="297"/>
      <c r="F44" s="287"/>
      <c r="G44" s="287"/>
      <c r="H44" s="270" t="str">
        <f>IF(H$28&lt;1000,"",G$23-G$24)</f>
        <v/>
      </c>
      <c r="I44" s="297"/>
      <c r="J44" s="287"/>
      <c r="K44" s="287"/>
      <c r="L44" s="270" t="str">
        <f>IF(L$28&lt;1000,"",K$23-K$24)</f>
        <v/>
      </c>
      <c r="M44" s="297"/>
      <c r="N44" s="287"/>
      <c r="O44" s="287"/>
      <c r="P44" s="270" t="str">
        <f>IF(P$28&lt;1000,"",O$23-O$24)</f>
        <v/>
      </c>
      <c r="Q44" s="297"/>
      <c r="R44" s="287"/>
      <c r="S44" s="287"/>
      <c r="T44" s="270" t="str">
        <f>IF(T$28&lt;1000,"",S$23-S$24)</f>
        <v/>
      </c>
      <c r="U44" s="297"/>
      <c r="V44" s="287"/>
      <c r="W44" s="287"/>
      <c r="X44" s="270" t="str">
        <f>IF(X$28&lt;1000,"",W$23-W$24)</f>
        <v/>
      </c>
      <c r="Y44" s="297"/>
      <c r="Z44" s="287"/>
      <c r="AA44" s="287"/>
      <c r="AB44" s="270" t="str">
        <f>IF(AB$28&lt;1000,"",AA$23-AA$24)</f>
        <v/>
      </c>
      <c r="AC44" s="297"/>
      <c r="AD44" s="287"/>
      <c r="AE44" s="287"/>
      <c r="AF44" s="270" t="str">
        <f>IF(AF$28&lt;1000,"",AE$23-AE$24)</f>
        <v/>
      </c>
      <c r="AG44" s="297"/>
      <c r="AH44" s="287"/>
      <c r="AI44" s="287"/>
      <c r="AJ44" s="508" t="str">
        <f>IF(AJ$28&lt;1000,"",AI$23-AI$24)</f>
        <v/>
      </c>
    </row>
    <row r="45" spans="2:36" ht="26.2">
      <c r="B45" s="31"/>
      <c r="C45" s="93">
        <v>5.4</v>
      </c>
      <c r="D45" s="92" t="s">
        <v>177</v>
      </c>
      <c r="E45" s="297"/>
      <c r="F45" s="287"/>
      <c r="G45" s="287"/>
      <c r="H45" s="270">
        <f>IF(H$28&lt;1000,0,MAX(0,H$42-H$43)*H$44)</f>
        <v>0</v>
      </c>
      <c r="I45" s="297"/>
      <c r="J45" s="287"/>
      <c r="K45" s="287"/>
      <c r="L45" s="270">
        <f>IF(L$28&lt;1000,0,MAX(0,L$42-L$43)*L$44)</f>
        <v>0</v>
      </c>
      <c r="M45" s="297"/>
      <c r="N45" s="287"/>
      <c r="O45" s="287"/>
      <c r="P45" s="270">
        <f>IF(P$28&lt;1000,0,MAX(0,P$42-P$43)*P$44)</f>
        <v>0</v>
      </c>
      <c r="Q45" s="297"/>
      <c r="R45" s="287"/>
      <c r="S45" s="287"/>
      <c r="T45" s="270">
        <f>IF(T$28&lt;1000,0,MAX(0,T$42-T$43)*T$44)</f>
        <v>0</v>
      </c>
      <c r="U45" s="297"/>
      <c r="V45" s="287"/>
      <c r="W45" s="287"/>
      <c r="X45" s="270">
        <f>IF(X$28&lt;1000,0,MAX(0,X$42-X$43)*X$44)</f>
        <v>0</v>
      </c>
      <c r="Y45" s="297"/>
      <c r="Z45" s="287"/>
      <c r="AA45" s="287"/>
      <c r="AB45" s="270">
        <f>IF(AB$28&lt;1000,0,MAX(0,AB$42-AB$43)*AB$44)</f>
        <v>0</v>
      </c>
      <c r="AC45" s="297"/>
      <c r="AD45" s="287"/>
      <c r="AE45" s="287"/>
      <c r="AF45" s="270">
        <f>IF(AF$28&lt;1000,0,MAX(0,AF$42-AF$43)*AF$44)</f>
        <v>0</v>
      </c>
      <c r="AG45" s="297"/>
      <c r="AH45" s="287"/>
      <c r="AI45" s="287"/>
      <c r="AJ45" s="508">
        <f>IF(AJ$28&lt;1000,0,MAX(0,AJ$42-AJ$43)*AJ$44)</f>
        <v>0</v>
      </c>
    </row>
    <row r="46" spans="2:36" ht="13.1" thickBot="1">
      <c r="B46" s="308"/>
      <c r="C46" s="309"/>
      <c r="D46" s="310"/>
      <c r="E46" s="311"/>
      <c r="F46" s="312"/>
      <c r="G46" s="312"/>
      <c r="H46" s="313"/>
      <c r="I46" s="311"/>
      <c r="J46" s="312"/>
      <c r="K46" s="312"/>
      <c r="L46" s="313"/>
      <c r="M46" s="311"/>
      <c r="N46" s="312"/>
      <c r="O46" s="312"/>
      <c r="P46" s="313"/>
      <c r="Q46" s="311"/>
      <c r="R46" s="312"/>
      <c r="S46" s="312"/>
      <c r="T46" s="313"/>
      <c r="U46" s="311"/>
      <c r="V46" s="312"/>
      <c r="W46" s="312"/>
      <c r="X46" s="313"/>
      <c r="Y46" s="311"/>
      <c r="Z46" s="312"/>
      <c r="AA46" s="312"/>
      <c r="AB46" s="313"/>
      <c r="AC46" s="311"/>
      <c r="AD46" s="312"/>
      <c r="AE46" s="312"/>
      <c r="AF46" s="313"/>
      <c r="AG46" s="311"/>
      <c r="AH46" s="312"/>
      <c r="AI46" s="312"/>
      <c r="AJ46" s="314"/>
    </row>
    <row r="47" spans="2:36">
      <c r="J47" s="7"/>
      <c r="Q47" s="82"/>
    </row>
    <row r="48" spans="2:36" ht="13.1">
      <c r="B48" s="125" t="s">
        <v>225</v>
      </c>
      <c r="C48" s="125"/>
      <c r="D48" s="125"/>
      <c r="E48" s="9"/>
    </row>
    <row r="49" spans="2:4" ht="12.8" customHeight="1">
      <c r="B49" s="125"/>
      <c r="C49" s="513" t="s">
        <v>226</v>
      </c>
      <c r="D49" s="513"/>
    </row>
    <row r="50" spans="2:4" ht="13.1">
      <c r="B50" s="125"/>
      <c r="C50" s="216" t="s">
        <v>314</v>
      </c>
      <c r="D50" s="216"/>
    </row>
    <row r="51" spans="2:4" ht="13.1">
      <c r="B51" s="124"/>
      <c r="C51" s="216" t="s">
        <v>313</v>
      </c>
      <c r="D51" s="216"/>
    </row>
    <row r="52" spans="2:4" ht="12.8" customHeight="1">
      <c r="B52" s="74"/>
      <c r="C52" s="513" t="s">
        <v>315</v>
      </c>
      <c r="D52" s="513"/>
    </row>
    <row r="53" spans="2:4" ht="12.8" customHeight="1">
      <c r="C53" s="513" t="s">
        <v>316</v>
      </c>
      <c r="D53" s="513"/>
    </row>
    <row r="56" spans="2:4">
      <c r="D56" s="5"/>
    </row>
    <row r="57" spans="2:4" ht="13.1">
      <c r="D57" s="126"/>
    </row>
  </sheetData>
  <mergeCells count="26">
    <mergeCell ref="B12:D13"/>
    <mergeCell ref="C34:D34"/>
    <mergeCell ref="AC10:AJ10"/>
    <mergeCell ref="AC11:AF11"/>
    <mergeCell ref="AG11:AJ11"/>
    <mergeCell ref="E11:H11"/>
    <mergeCell ref="I11:L11"/>
    <mergeCell ref="M11:P11"/>
    <mergeCell ref="E10:P10"/>
    <mergeCell ref="Q11:T11"/>
    <mergeCell ref="U11:X11"/>
    <mergeCell ref="Y11:AB11"/>
    <mergeCell ref="Q10:AB10"/>
    <mergeCell ref="I8:J8"/>
    <mergeCell ref="B6:D6"/>
    <mergeCell ref="B8:D8"/>
    <mergeCell ref="L8:M8"/>
    <mergeCell ref="F8:G8"/>
    <mergeCell ref="F2:G2"/>
    <mergeCell ref="F4:G4"/>
    <mergeCell ref="I2:J2"/>
    <mergeCell ref="L6:M6"/>
    <mergeCell ref="I4:J4"/>
    <mergeCell ref="L4:M4"/>
    <mergeCell ref="F6:G6"/>
    <mergeCell ref="I6:J6"/>
  </mergeCells>
  <phoneticPr fontId="24" type="noConversion"/>
  <conditionalFormatting sqref="V30 I24:I25 T24:U25 X24:X25 AB24:AB25 AF24:AG25 AJ24:AJ25 E23:AJ24">
    <cfRule type="cellIs" dxfId="0" priority="2" stopIfTrue="1" operator="lessThan">
      <formula>0</formula>
    </cfRule>
  </conditionalFormatting>
  <pageMargins left="0.2" right="0.2" top="0.35" bottom="0.25" header="0.2" footer="0.2"/>
  <pageSetup paperSize="5" scale="60" fitToWidth="2" orientation="landscape" r:id="rId1"/>
  <headerFooter alignWithMargins="0">
    <oddFooter>&amp;L&amp;F &amp;C Page &amp;P of &amp;N&amp;R[&amp;A]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sheetPr>
  <dimension ref="A3:R63"/>
  <sheetViews>
    <sheetView workbookViewId="0"/>
  </sheetViews>
  <sheetFormatPr defaultColWidth="9.125" defaultRowHeight="12.45"/>
  <cols>
    <col min="1" max="1" width="27.625" style="127" bestFit="1" customWidth="1"/>
    <col min="2" max="6" width="20" style="127" customWidth="1"/>
    <col min="7" max="7" width="9.125" style="127"/>
    <col min="8" max="8" width="30.75" style="151" customWidth="1"/>
    <col min="9" max="14" width="6.75" style="151" customWidth="1"/>
    <col min="15" max="15" width="9.125" style="127"/>
    <col min="16" max="16" width="14.375" style="127" bestFit="1" customWidth="1"/>
    <col min="17" max="16384" width="9.125" style="127"/>
  </cols>
  <sheetData>
    <row r="3" spans="1:18">
      <c r="A3" s="594" t="s">
        <v>227</v>
      </c>
      <c r="B3" s="594"/>
      <c r="C3" s="449"/>
      <c r="D3" s="449"/>
      <c r="E3" s="449"/>
      <c r="F3" s="449"/>
      <c r="H3" s="128" t="s">
        <v>228</v>
      </c>
      <c r="I3" s="455"/>
      <c r="J3" s="456"/>
      <c r="K3" s="457"/>
      <c r="L3" s="458"/>
      <c r="M3" s="457"/>
      <c r="N3" s="458"/>
      <c r="P3" s="129" t="s">
        <v>229</v>
      </c>
      <c r="R3" s="129" t="s">
        <v>230</v>
      </c>
    </row>
    <row r="4" spans="1:18">
      <c r="A4" s="595" t="s">
        <v>231</v>
      </c>
      <c r="B4" s="595"/>
      <c r="C4" s="450"/>
      <c r="D4" s="450"/>
      <c r="E4" s="450"/>
      <c r="F4" s="450"/>
      <c r="H4" s="128" t="s">
        <v>232</v>
      </c>
      <c r="I4" s="459"/>
      <c r="J4" s="460"/>
      <c r="K4" s="459"/>
      <c r="L4" s="460"/>
      <c r="M4" s="459"/>
      <c r="N4" s="460"/>
      <c r="P4" s="127" t="s">
        <v>233</v>
      </c>
      <c r="R4" s="129" t="s">
        <v>234</v>
      </c>
    </row>
    <row r="5" spans="1:18">
      <c r="A5" s="130" t="s">
        <v>235</v>
      </c>
      <c r="B5" s="131" t="s">
        <v>236</v>
      </c>
      <c r="C5" s="451"/>
      <c r="D5" s="451"/>
      <c r="E5" s="451"/>
      <c r="F5" s="451"/>
      <c r="H5" s="132" t="s">
        <v>239</v>
      </c>
      <c r="I5" s="461"/>
      <c r="J5" s="462"/>
      <c r="K5" s="461"/>
      <c r="L5" s="462"/>
      <c r="M5" s="461"/>
      <c r="N5" s="462"/>
      <c r="P5" s="133">
        <v>2011</v>
      </c>
      <c r="R5" s="134" t="s">
        <v>238</v>
      </c>
    </row>
    <row r="6" spans="1:18">
      <c r="A6" s="135">
        <v>0</v>
      </c>
      <c r="B6" s="136">
        <v>0</v>
      </c>
      <c r="C6" s="452"/>
      <c r="D6" s="452"/>
      <c r="E6" s="452"/>
      <c r="F6" s="452"/>
      <c r="H6" s="137" t="s">
        <v>237</v>
      </c>
      <c r="I6" s="461"/>
      <c r="J6" s="462"/>
      <c r="K6" s="461"/>
      <c r="L6" s="462"/>
      <c r="M6" s="461"/>
      <c r="N6" s="462"/>
      <c r="P6" s="138">
        <v>2012</v>
      </c>
      <c r="R6" s="139" t="s">
        <v>240</v>
      </c>
    </row>
    <row r="7" spans="1:18">
      <c r="A7" s="135">
        <v>1000</v>
      </c>
      <c r="B7" s="136">
        <v>8.3000000000000004E-2</v>
      </c>
      <c r="C7" s="452"/>
      <c r="D7" s="452"/>
      <c r="E7" s="452"/>
      <c r="F7" s="452"/>
      <c r="H7" s="137" t="s">
        <v>242</v>
      </c>
      <c r="I7" s="461"/>
      <c r="J7" s="462"/>
      <c r="K7" s="461"/>
      <c r="L7" s="462"/>
      <c r="M7" s="461"/>
      <c r="N7" s="462"/>
      <c r="P7" s="138">
        <v>2013</v>
      </c>
    </row>
    <row r="8" spans="1:18">
      <c r="A8" s="135">
        <v>2500</v>
      </c>
      <c r="B8" s="136">
        <v>5.1999999999999998E-2</v>
      </c>
      <c r="C8" s="452"/>
      <c r="D8" s="452"/>
      <c r="E8" s="452"/>
      <c r="F8" s="452"/>
      <c r="H8" s="137" t="s">
        <v>243</v>
      </c>
      <c r="I8" s="461"/>
      <c r="J8" s="462"/>
      <c r="K8" s="461"/>
      <c r="L8" s="462"/>
      <c r="M8" s="461"/>
      <c r="N8" s="462"/>
      <c r="P8" s="138">
        <v>2014</v>
      </c>
    </row>
    <row r="9" spans="1:18">
      <c r="A9" s="135">
        <v>5000</v>
      </c>
      <c r="B9" s="136">
        <v>3.6999999999999998E-2</v>
      </c>
      <c r="C9" s="452"/>
      <c r="D9" s="452"/>
      <c r="E9" s="452"/>
      <c r="F9" s="452"/>
      <c r="H9" s="137" t="s">
        <v>241</v>
      </c>
      <c r="I9" s="461"/>
      <c r="J9" s="462"/>
      <c r="K9" s="461"/>
      <c r="L9" s="462"/>
      <c r="M9" s="461"/>
      <c r="N9" s="462"/>
      <c r="P9" s="138">
        <v>2015</v>
      </c>
    </row>
    <row r="10" spans="1:18">
      <c r="A10" s="135">
        <v>10000</v>
      </c>
      <c r="B10" s="136">
        <v>2.5999999999999999E-2</v>
      </c>
      <c r="C10" s="452"/>
      <c r="D10" s="452"/>
      <c r="E10" s="452"/>
      <c r="F10" s="452"/>
      <c r="H10" s="137" t="s">
        <v>244</v>
      </c>
      <c r="I10" s="461"/>
      <c r="J10" s="462"/>
      <c r="K10" s="461"/>
      <c r="L10" s="462"/>
      <c r="M10" s="461"/>
      <c r="N10" s="462"/>
      <c r="P10" s="138">
        <v>2016</v>
      </c>
    </row>
    <row r="11" spans="1:18">
      <c r="A11" s="135">
        <v>25000</v>
      </c>
      <c r="B11" s="136">
        <v>1.6E-2</v>
      </c>
      <c r="C11" s="452"/>
      <c r="D11" s="452"/>
      <c r="E11" s="452"/>
      <c r="F11" s="452"/>
      <c r="H11" s="137" t="s">
        <v>245</v>
      </c>
      <c r="I11" s="461"/>
      <c r="J11" s="462"/>
      <c r="K11" s="461"/>
      <c r="L11" s="462"/>
      <c r="M11" s="461"/>
      <c r="N11" s="462"/>
      <c r="P11" s="138">
        <v>2017</v>
      </c>
    </row>
    <row r="12" spans="1:18">
      <c r="A12" s="135">
        <v>50000</v>
      </c>
      <c r="B12" s="136">
        <v>1.2E-2</v>
      </c>
      <c r="C12" s="452"/>
      <c r="D12" s="452"/>
      <c r="E12" s="452"/>
      <c r="F12" s="452"/>
      <c r="H12" s="137" t="s">
        <v>246</v>
      </c>
      <c r="I12" s="461"/>
      <c r="J12" s="462"/>
      <c r="K12" s="461"/>
      <c r="L12" s="462"/>
      <c r="M12" s="461"/>
      <c r="N12" s="462"/>
      <c r="P12" s="138">
        <v>2018</v>
      </c>
    </row>
    <row r="13" spans="1:18">
      <c r="A13" s="140">
        <v>75000</v>
      </c>
      <c r="B13" s="141">
        <v>0</v>
      </c>
      <c r="C13" s="452"/>
      <c r="D13" s="452"/>
      <c r="E13" s="452"/>
      <c r="F13" s="452"/>
      <c r="H13" s="137" t="s">
        <v>247</v>
      </c>
      <c r="I13" s="461"/>
      <c r="J13" s="462"/>
      <c r="K13" s="461"/>
      <c r="L13" s="462"/>
      <c r="M13" s="461"/>
      <c r="N13" s="462"/>
      <c r="P13" s="138">
        <v>2019</v>
      </c>
    </row>
    <row r="14" spans="1:18">
      <c r="H14" s="137" t="s">
        <v>249</v>
      </c>
      <c r="I14" s="461"/>
      <c r="J14" s="462"/>
      <c r="K14" s="461"/>
      <c r="L14" s="462"/>
      <c r="M14" s="461"/>
      <c r="N14" s="462"/>
      <c r="P14" s="138">
        <v>2020</v>
      </c>
    </row>
    <row r="15" spans="1:18">
      <c r="H15" s="137" t="s">
        <v>248</v>
      </c>
      <c r="I15" s="461"/>
      <c r="J15" s="462"/>
      <c r="K15" s="461"/>
      <c r="L15" s="462"/>
      <c r="M15" s="461"/>
      <c r="N15" s="462"/>
      <c r="P15" s="138">
        <v>2021</v>
      </c>
    </row>
    <row r="16" spans="1:18">
      <c r="A16" s="594" t="s">
        <v>250</v>
      </c>
      <c r="B16" s="594"/>
      <c r="C16" s="449"/>
      <c r="D16" s="449"/>
      <c r="E16" s="449"/>
      <c r="F16" s="449"/>
      <c r="H16" s="137" t="s">
        <v>251</v>
      </c>
      <c r="I16" s="461"/>
      <c r="J16" s="462"/>
      <c r="K16" s="461"/>
      <c r="L16" s="462"/>
      <c r="M16" s="461"/>
      <c r="N16" s="462"/>
      <c r="P16" s="138">
        <v>2022</v>
      </c>
    </row>
    <row r="17" spans="1:16">
      <c r="A17" s="596" t="s">
        <v>252</v>
      </c>
      <c r="B17" s="596"/>
      <c r="C17" s="451"/>
      <c r="D17" s="451"/>
      <c r="E17" s="451"/>
      <c r="F17" s="451"/>
      <c r="H17" s="137" t="s">
        <v>253</v>
      </c>
      <c r="I17" s="461"/>
      <c r="J17" s="462"/>
      <c r="K17" s="461"/>
      <c r="L17" s="462"/>
      <c r="M17" s="461"/>
      <c r="N17" s="462"/>
      <c r="P17" s="138">
        <v>2023</v>
      </c>
    </row>
    <row r="18" spans="1:16">
      <c r="A18" s="142" t="s">
        <v>254</v>
      </c>
      <c r="B18" s="131" t="s">
        <v>255</v>
      </c>
      <c r="C18" s="451"/>
      <c r="D18" s="451"/>
      <c r="E18" s="451"/>
      <c r="F18" s="451"/>
      <c r="H18" s="137" t="s">
        <v>257</v>
      </c>
      <c r="I18" s="461"/>
      <c r="J18" s="462"/>
      <c r="K18" s="461"/>
      <c r="L18" s="462"/>
      <c r="M18" s="461"/>
      <c r="N18" s="462"/>
      <c r="P18" s="138">
        <v>2024</v>
      </c>
    </row>
    <row r="19" spans="1:16">
      <c r="A19" s="143">
        <v>0</v>
      </c>
      <c r="B19" s="144">
        <v>1</v>
      </c>
      <c r="C19" s="453"/>
      <c r="D19" s="453"/>
      <c r="E19" s="453"/>
      <c r="F19" s="453"/>
      <c r="H19" s="137" t="s">
        <v>258</v>
      </c>
      <c r="I19" s="461"/>
      <c r="J19" s="462"/>
      <c r="K19" s="461"/>
      <c r="L19" s="462"/>
      <c r="M19" s="461"/>
      <c r="N19" s="462"/>
      <c r="P19" s="138">
        <v>2025</v>
      </c>
    </row>
    <row r="20" spans="1:16">
      <c r="A20" s="145">
        <v>2500</v>
      </c>
      <c r="B20" s="146">
        <v>1.1639999999999999</v>
      </c>
      <c r="C20" s="451"/>
      <c r="D20" s="451"/>
      <c r="E20" s="451"/>
      <c r="F20" s="451"/>
      <c r="H20" s="137" t="s">
        <v>260</v>
      </c>
      <c r="I20" s="461"/>
      <c r="J20" s="462"/>
      <c r="K20" s="461"/>
      <c r="L20" s="462"/>
      <c r="M20" s="461"/>
      <c r="N20" s="462"/>
      <c r="P20" s="138">
        <v>2026</v>
      </c>
    </row>
    <row r="21" spans="1:16">
      <c r="A21" s="145">
        <v>5000</v>
      </c>
      <c r="B21" s="146">
        <v>1.4019999999999999</v>
      </c>
      <c r="C21" s="451"/>
      <c r="D21" s="451"/>
      <c r="E21" s="451"/>
      <c r="F21" s="451"/>
      <c r="H21" s="137" t="s">
        <v>261</v>
      </c>
      <c r="I21" s="461"/>
      <c r="J21" s="462"/>
      <c r="K21" s="461"/>
      <c r="L21" s="462"/>
      <c r="M21" s="461"/>
      <c r="N21" s="462"/>
      <c r="P21" s="138">
        <v>2027</v>
      </c>
    </row>
    <row r="22" spans="1:16">
      <c r="A22" s="147">
        <v>10000</v>
      </c>
      <c r="B22" s="148">
        <v>1.736</v>
      </c>
      <c r="C22" s="451"/>
      <c r="D22" s="451"/>
      <c r="E22" s="451"/>
      <c r="F22" s="451"/>
      <c r="H22" s="137" t="s">
        <v>262</v>
      </c>
      <c r="I22" s="461"/>
      <c r="J22" s="462"/>
      <c r="K22" s="461"/>
      <c r="L22" s="462"/>
      <c r="M22" s="461"/>
      <c r="N22" s="462"/>
      <c r="P22" s="138">
        <v>2028</v>
      </c>
    </row>
    <row r="23" spans="1:16">
      <c r="H23" s="137" t="s">
        <v>259</v>
      </c>
      <c r="I23" s="461"/>
      <c r="J23" s="462"/>
      <c r="K23" s="461"/>
      <c r="L23" s="462"/>
      <c r="M23" s="461"/>
      <c r="N23" s="462"/>
      <c r="P23" s="138">
        <v>2029</v>
      </c>
    </row>
    <row r="24" spans="1:16">
      <c r="H24" s="137" t="s">
        <v>263</v>
      </c>
      <c r="I24" s="461"/>
      <c r="J24" s="462"/>
      <c r="K24" s="461"/>
      <c r="L24" s="462"/>
      <c r="M24" s="461"/>
      <c r="N24" s="462"/>
      <c r="P24" s="138">
        <v>2030</v>
      </c>
    </row>
    <row r="25" spans="1:16">
      <c r="H25" s="137" t="s">
        <v>264</v>
      </c>
      <c r="I25" s="461"/>
      <c r="J25" s="462"/>
      <c r="K25" s="461"/>
      <c r="L25" s="462"/>
      <c r="M25" s="461"/>
      <c r="N25" s="462"/>
      <c r="P25" s="138">
        <v>2031</v>
      </c>
    </row>
    <row r="26" spans="1:16">
      <c r="H26" s="137" t="s">
        <v>265</v>
      </c>
      <c r="I26" s="461"/>
      <c r="J26" s="462"/>
      <c r="K26" s="461"/>
      <c r="L26" s="462"/>
      <c r="M26" s="461"/>
      <c r="N26" s="462"/>
      <c r="P26" s="138">
        <v>2032</v>
      </c>
    </row>
    <row r="27" spans="1:16">
      <c r="H27" s="137" t="s">
        <v>268</v>
      </c>
      <c r="I27" s="461"/>
      <c r="J27" s="462"/>
      <c r="K27" s="461"/>
      <c r="L27" s="462"/>
      <c r="M27" s="461"/>
      <c r="N27" s="462"/>
      <c r="P27" s="138">
        <v>2033</v>
      </c>
    </row>
    <row r="28" spans="1:16">
      <c r="H28" s="137" t="s">
        <v>267</v>
      </c>
      <c r="I28" s="461"/>
      <c r="J28" s="462"/>
      <c r="K28" s="461"/>
      <c r="L28" s="462"/>
      <c r="M28" s="461"/>
      <c r="N28" s="462"/>
      <c r="P28" s="138">
        <v>2034</v>
      </c>
    </row>
    <row r="29" spans="1:16">
      <c r="H29" s="137" t="s">
        <v>266</v>
      </c>
      <c r="I29" s="461"/>
      <c r="J29" s="462"/>
      <c r="K29" s="461"/>
      <c r="L29" s="462"/>
      <c r="M29" s="461"/>
      <c r="N29" s="462"/>
      <c r="P29" s="138">
        <v>2035</v>
      </c>
    </row>
    <row r="30" spans="1:16">
      <c r="H30" s="137" t="s">
        <v>269</v>
      </c>
      <c r="I30" s="461"/>
      <c r="J30" s="462"/>
      <c r="K30" s="461"/>
      <c r="L30" s="462"/>
      <c r="M30" s="461"/>
      <c r="N30" s="462"/>
      <c r="P30" s="138">
        <v>2036</v>
      </c>
    </row>
    <row r="31" spans="1:16">
      <c r="H31" s="137" t="s">
        <v>270</v>
      </c>
      <c r="I31" s="461"/>
      <c r="J31" s="462"/>
      <c r="K31" s="461"/>
      <c r="L31" s="462"/>
      <c r="M31" s="461"/>
      <c r="N31" s="462"/>
      <c r="P31" s="138">
        <v>2037</v>
      </c>
    </row>
    <row r="32" spans="1:16">
      <c r="H32" s="137" t="s">
        <v>273</v>
      </c>
      <c r="I32" s="461"/>
      <c r="J32" s="462"/>
      <c r="K32" s="461"/>
      <c r="L32" s="462"/>
      <c r="M32" s="461"/>
      <c r="N32" s="462"/>
      <c r="P32" s="138">
        <v>2038</v>
      </c>
    </row>
    <row r="33" spans="8:16">
      <c r="H33" s="137" t="s">
        <v>271</v>
      </c>
      <c r="I33" s="461"/>
      <c r="J33" s="462"/>
      <c r="K33" s="461"/>
      <c r="L33" s="462"/>
      <c r="M33" s="461"/>
      <c r="N33" s="462"/>
      <c r="P33" s="138">
        <v>2039</v>
      </c>
    </row>
    <row r="34" spans="8:16">
      <c r="H34" s="137" t="s">
        <v>274</v>
      </c>
      <c r="I34" s="461"/>
      <c r="J34" s="462"/>
      <c r="K34" s="461"/>
      <c r="L34" s="462"/>
      <c r="M34" s="461"/>
      <c r="N34" s="462"/>
      <c r="P34" s="138">
        <v>2040</v>
      </c>
    </row>
    <row r="35" spans="8:16">
      <c r="H35" s="137" t="s">
        <v>272</v>
      </c>
      <c r="I35" s="461"/>
      <c r="J35" s="462"/>
      <c r="K35" s="461"/>
      <c r="L35" s="462"/>
      <c r="M35" s="461"/>
      <c r="N35" s="462"/>
      <c r="P35" s="138">
        <v>2041</v>
      </c>
    </row>
    <row r="36" spans="8:16">
      <c r="H36" s="137" t="s">
        <v>277</v>
      </c>
      <c r="I36" s="461"/>
      <c r="J36" s="462"/>
      <c r="K36" s="461"/>
      <c r="L36" s="462"/>
      <c r="M36" s="461"/>
      <c r="N36" s="462"/>
      <c r="P36" s="138">
        <v>2042</v>
      </c>
    </row>
    <row r="37" spans="8:16">
      <c r="H37" s="137" t="s">
        <v>281</v>
      </c>
      <c r="I37" s="461"/>
      <c r="J37" s="462"/>
      <c r="K37" s="461"/>
      <c r="L37" s="462"/>
      <c r="M37" s="461"/>
      <c r="N37" s="462"/>
      <c r="P37" s="138">
        <v>2043</v>
      </c>
    </row>
    <row r="38" spans="8:16">
      <c r="H38" s="137" t="s">
        <v>278</v>
      </c>
      <c r="I38" s="461"/>
      <c r="J38" s="462"/>
      <c r="K38" s="461"/>
      <c r="L38" s="462"/>
      <c r="M38" s="461"/>
      <c r="N38" s="462"/>
      <c r="P38" s="138">
        <v>2044</v>
      </c>
    </row>
    <row r="39" spans="8:16">
      <c r="H39" s="137" t="s">
        <v>279</v>
      </c>
      <c r="I39" s="461"/>
      <c r="J39" s="462"/>
      <c r="K39" s="461"/>
      <c r="L39" s="462"/>
      <c r="M39" s="461"/>
      <c r="N39" s="462"/>
      <c r="P39" s="138">
        <v>2045</v>
      </c>
    </row>
    <row r="40" spans="8:16">
      <c r="H40" s="137" t="s">
        <v>280</v>
      </c>
      <c r="I40" s="461"/>
      <c r="J40" s="462"/>
      <c r="K40" s="461"/>
      <c r="L40" s="462"/>
      <c r="M40" s="461"/>
      <c r="N40" s="462"/>
      <c r="P40" s="138">
        <v>2046</v>
      </c>
    </row>
    <row r="41" spans="8:16">
      <c r="H41" s="137" t="s">
        <v>282</v>
      </c>
      <c r="I41" s="461"/>
      <c r="J41" s="462"/>
      <c r="K41" s="461"/>
      <c r="L41" s="462"/>
      <c r="M41" s="461"/>
      <c r="N41" s="462"/>
      <c r="P41" s="138">
        <v>2047</v>
      </c>
    </row>
    <row r="42" spans="8:16">
      <c r="H42" s="137" t="s">
        <v>275</v>
      </c>
      <c r="I42" s="461"/>
      <c r="J42" s="462"/>
      <c r="K42" s="461"/>
      <c r="L42" s="462"/>
      <c r="M42" s="461"/>
      <c r="N42" s="462"/>
      <c r="P42" s="138">
        <v>2048</v>
      </c>
    </row>
    <row r="43" spans="8:16">
      <c r="H43" s="137" t="s">
        <v>276</v>
      </c>
      <c r="I43" s="461"/>
      <c r="J43" s="462"/>
      <c r="K43" s="461"/>
      <c r="L43" s="462"/>
      <c r="M43" s="461"/>
      <c r="N43" s="462"/>
      <c r="P43" s="138">
        <v>2049</v>
      </c>
    </row>
    <row r="44" spans="8:16">
      <c r="H44" s="137" t="s">
        <v>283</v>
      </c>
      <c r="I44" s="461"/>
      <c r="J44" s="462"/>
      <c r="K44" s="461"/>
      <c r="L44" s="462"/>
      <c r="M44" s="461"/>
      <c r="N44" s="462"/>
      <c r="P44" s="138">
        <v>2050</v>
      </c>
    </row>
    <row r="45" spans="8:16">
      <c r="H45" s="137" t="s">
        <v>284</v>
      </c>
      <c r="I45" s="461"/>
      <c r="J45" s="462"/>
      <c r="K45" s="461"/>
      <c r="L45" s="462"/>
      <c r="M45" s="461"/>
      <c r="N45" s="462"/>
      <c r="P45" s="138">
        <v>2051</v>
      </c>
    </row>
    <row r="46" spans="8:16">
      <c r="H46" s="137" t="s">
        <v>285</v>
      </c>
      <c r="I46" s="461"/>
      <c r="J46" s="462"/>
      <c r="K46" s="461"/>
      <c r="L46" s="462"/>
      <c r="M46" s="461"/>
      <c r="N46" s="462"/>
      <c r="P46" s="138">
        <v>2052</v>
      </c>
    </row>
    <row r="47" spans="8:16">
      <c r="H47" s="137" t="s">
        <v>286</v>
      </c>
      <c r="I47" s="461"/>
      <c r="J47" s="462"/>
      <c r="K47" s="461"/>
      <c r="L47" s="462"/>
      <c r="M47" s="461"/>
      <c r="N47" s="462"/>
      <c r="P47" s="138">
        <v>2053</v>
      </c>
    </row>
    <row r="48" spans="8:16">
      <c r="H48" s="137" t="s">
        <v>287</v>
      </c>
      <c r="I48" s="461"/>
      <c r="J48" s="462"/>
      <c r="K48" s="461"/>
      <c r="L48" s="462"/>
      <c r="M48" s="461"/>
      <c r="N48" s="462"/>
      <c r="P48" s="138">
        <v>2054</v>
      </c>
    </row>
    <row r="49" spans="8:16">
      <c r="H49" s="137" t="s">
        <v>288</v>
      </c>
      <c r="I49" s="461"/>
      <c r="J49" s="462"/>
      <c r="K49" s="461"/>
      <c r="L49" s="462"/>
      <c r="M49" s="461"/>
      <c r="N49" s="462"/>
      <c r="P49" s="138">
        <v>2055</v>
      </c>
    </row>
    <row r="50" spans="8:16">
      <c r="H50" s="137" t="s">
        <v>289</v>
      </c>
      <c r="I50" s="461"/>
      <c r="J50" s="462"/>
      <c r="K50" s="461"/>
      <c r="L50" s="462"/>
      <c r="M50" s="461"/>
      <c r="N50" s="462"/>
      <c r="P50" s="138">
        <v>2056</v>
      </c>
    </row>
    <row r="51" spans="8:16">
      <c r="H51" s="137" t="s">
        <v>290</v>
      </c>
      <c r="I51" s="461"/>
      <c r="J51" s="462"/>
      <c r="K51" s="461"/>
      <c r="L51" s="462"/>
      <c r="M51" s="461"/>
      <c r="N51" s="462"/>
      <c r="P51" s="138">
        <v>2057</v>
      </c>
    </row>
    <row r="52" spans="8:16">
      <c r="H52" s="137" t="s">
        <v>291</v>
      </c>
      <c r="I52" s="461"/>
      <c r="J52" s="462"/>
      <c r="K52" s="461"/>
      <c r="L52" s="462"/>
      <c r="M52" s="461"/>
      <c r="N52" s="462"/>
      <c r="P52" s="138">
        <v>2058</v>
      </c>
    </row>
    <row r="53" spans="8:16">
      <c r="H53" s="137" t="s">
        <v>292</v>
      </c>
      <c r="I53" s="461"/>
      <c r="J53" s="462"/>
      <c r="K53" s="461"/>
      <c r="L53" s="462"/>
      <c r="M53" s="461"/>
      <c r="N53" s="462"/>
      <c r="P53" s="138">
        <v>2059</v>
      </c>
    </row>
    <row r="54" spans="8:16">
      <c r="H54" s="137" t="s">
        <v>293</v>
      </c>
      <c r="I54" s="461"/>
      <c r="J54" s="462"/>
      <c r="K54" s="461"/>
      <c r="L54" s="462"/>
      <c r="M54" s="461"/>
      <c r="N54" s="462"/>
      <c r="P54" s="149">
        <v>2060</v>
      </c>
    </row>
    <row r="55" spans="8:16">
      <c r="H55" s="137" t="s">
        <v>294</v>
      </c>
      <c r="I55" s="461"/>
      <c r="J55" s="462"/>
      <c r="K55" s="461"/>
      <c r="L55" s="462"/>
      <c r="M55" s="461"/>
      <c r="N55" s="462"/>
    </row>
    <row r="56" spans="8:16">
      <c r="H56" s="137" t="s">
        <v>297</v>
      </c>
      <c r="I56" s="461"/>
      <c r="J56" s="462"/>
      <c r="K56" s="461"/>
      <c r="L56" s="462"/>
      <c r="M56" s="461"/>
      <c r="N56" s="462"/>
    </row>
    <row r="57" spans="8:16">
      <c r="H57" s="137" t="s">
        <v>296</v>
      </c>
      <c r="I57" s="461"/>
      <c r="J57" s="462"/>
      <c r="K57" s="461"/>
      <c r="L57" s="462"/>
      <c r="M57" s="461"/>
      <c r="N57" s="462"/>
    </row>
    <row r="58" spans="8:16">
      <c r="H58" s="137" t="s">
        <v>295</v>
      </c>
      <c r="I58" s="461"/>
      <c r="J58" s="462"/>
      <c r="K58" s="461"/>
      <c r="L58" s="462"/>
      <c r="M58" s="461"/>
      <c r="N58" s="462"/>
    </row>
    <row r="59" spans="8:16">
      <c r="H59" s="137" t="s">
        <v>298</v>
      </c>
      <c r="I59" s="461"/>
      <c r="J59" s="462"/>
      <c r="K59" s="461"/>
      <c r="L59" s="462"/>
      <c r="M59" s="461"/>
      <c r="N59" s="462"/>
    </row>
    <row r="60" spans="8:16">
      <c r="H60" s="137" t="s">
        <v>300</v>
      </c>
      <c r="I60" s="461"/>
      <c r="J60" s="462"/>
      <c r="K60" s="461"/>
      <c r="L60" s="462"/>
      <c r="M60" s="461"/>
      <c r="N60" s="462"/>
    </row>
    <row r="61" spans="8:16">
      <c r="H61" s="137" t="s">
        <v>299</v>
      </c>
      <c r="I61" s="461"/>
      <c r="J61" s="462"/>
      <c r="K61" s="461"/>
      <c r="L61" s="462"/>
      <c r="M61" s="461"/>
      <c r="N61" s="462"/>
    </row>
    <row r="62" spans="8:16">
      <c r="H62" s="150" t="s">
        <v>301</v>
      </c>
      <c r="I62" s="463"/>
      <c r="J62" s="464"/>
      <c r="K62" s="463"/>
      <c r="L62" s="464"/>
      <c r="M62" s="463"/>
      <c r="N62" s="464"/>
    </row>
    <row r="63" spans="8:16">
      <c r="H63" s="509" t="s">
        <v>256</v>
      </c>
      <c r="I63" s="454"/>
      <c r="J63" s="454"/>
      <c r="K63" s="454"/>
      <c r="L63" s="454"/>
      <c r="M63" s="454"/>
      <c r="N63" s="454"/>
    </row>
  </sheetData>
  <sortState ref="H5:N62">
    <sortCondition ref="H5:H62"/>
  </sortState>
  <mergeCells count="4">
    <mergeCell ref="A3:B3"/>
    <mergeCell ref="A4:B4"/>
    <mergeCell ref="A16:B16"/>
    <mergeCell ref="A17:B17"/>
  </mergeCells>
  <pageMargins left="0.2" right="0.2" top="0.25" bottom="0.55000000000000004" header="0.2" footer="0.1"/>
  <pageSetup scale="80" orientation="portrait" r:id="rId1"/>
  <headerFooter alignWithMargins="0">
    <oddFooter>&amp;L&amp;F&amp;CPage &amp;P of &amp;N&amp;R[&amp;A]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Start Here</vt:lpstr>
      <vt:lpstr>Formula Reference</vt:lpstr>
      <vt:lpstr>Pt 1 - Summary of Data</vt:lpstr>
      <vt:lpstr>Pt 2 - Premium and Claims</vt:lpstr>
      <vt:lpstr>Pt 4 MLR and Rebate Calculation</vt:lpstr>
      <vt:lpstr>Tables</vt:lpstr>
      <vt:lpstr>'Pt 1 - Summary of Data'!Print_Area</vt:lpstr>
      <vt:lpstr>'Pt 2 - Premium and Claims'!Print_Area</vt:lpstr>
      <vt:lpstr>'Pt 4 MLR and Rebate Calculation'!Print_Area</vt:lpstr>
      <vt:lpstr>'Formula Reference'!Print_Titles</vt:lpstr>
      <vt:lpstr>'Pt 1 - Summary of Data'!Print_Titles</vt:lpstr>
      <vt:lpstr>'Pt 2 - Premium and Claims'!Print_Titles</vt:lpstr>
      <vt:lpstr>'Pt 4 MLR and Rebate Calculation'!Print_Titles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2013-04-02T11:45:16Z</dcterms:created>
  <dcterms:modified xsi:type="dcterms:W3CDTF">2013-04-02T11:46:01Z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-1628513579</vt:i4>
  </property>
  <property fmtid="{D5CDD505-2E9C-101B-9397-08002B2CF9AE}" pid="3" name="_NewReviewCycle">
    <vt:lpwstr/>
  </property>
  <property fmtid="{D5CDD505-2E9C-101B-9397-08002B2CF9AE}" pid="4" name="_PreviousAdHocReviewCycleID">
    <vt:i4>1648415631</vt:i4>
  </property>
</Properties>
</file>